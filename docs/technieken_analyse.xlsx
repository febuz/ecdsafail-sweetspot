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6.xml" ContentType="application/vnd.openxmlformats-officedocument.spreadsheetml.worksheet+xml"/>
  <Override PartName="/xl/comments8.xml" ContentType="application/vnd.openxmlformats-officedocument.spreadsheetml.comments+xml"/>
  <Override PartName="/xl/theme/theme1.xml" ContentType="application/vnd.openxmlformats-officedocument.theme+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genda" sheetId="1" state="visible" r:id="rId3"/>
    <sheet name="Gebruikt" sheetId="2" state="visible" r:id="rId4"/>
    <sheet name="Ongebruikt" sheetId="3" state="visible" r:id="rId5"/>
    <sheet name="Tekstboek" sheetId="4" state="visible" r:id="rId6"/>
    <sheet name="Weging" sheetId="5" state="visible" r:id="rId7"/>
    <sheet name="Gelijkheid" sheetId="6" state="visible" r:id="rId8"/>
    <sheet name="Ontwerp" sheetId="7" state="visible" r:id="rId9"/>
    <sheet name="Vergelijking" sheetId="8" state="visible" r:id="rId10"/>
    <sheet name="Mijlpalen" sheetId="9" state="visible" r:id="rId11"/>
  </sheets>
  <calcPr iterateCount="100" refMode="A1" iterate="false" iterateDelta="0.0001"/>
  <extLst>
    <ext xmlns:loext="http://schemas.libreoffice.org/" uri="{7626C862-2A13-11E5-B345-FEFF819CDC9F}">
      <loext:extCalcPr stringRefSyntax="ExcelA1"/>
    </ext>
  </extLst>
</workbook>
</file>

<file path=xl/comments8.xml><?xml version="1.0" encoding="utf-8"?>
<comments xmlns="http://schemas.openxmlformats.org/spreadsheetml/2006/main" xmlns:xdr="http://schemas.openxmlformats.org/drawingml/2006/spreadsheetDrawing">
  <authors>
    <author>Claude</author>
  </authors>
  <commentList>
    <comment ref="B4" authorId="0">
      <text>
        <r>
          <rPr>
            <sz val="10"/>
            <rFont val="Arial"/>
            <family val="2"/>
          </rPr>
          <t xml:space="preserve">Laatste promoted inzending 26-10-2026</t>
        </r>
      </text>
    </comment>
  </commentList>
</comments>
</file>

<file path=xl/sharedStrings.xml><?xml version="1.0" encoding="utf-8"?>
<sst xmlns="http://schemas.openxmlformats.org/spreadsheetml/2006/main" count="3631" uniqueCount="882">
  <si>
    <t xml:space="preserve">Technieken-analyse ecdsa.fail (secp256k1 point add), 26-10-2026</t>
  </si>
  <si>
    <t xml:space="preserve">Score = gemiddeld uitgevoerde Toffoli x piek-qubits. Leader 9ef3139: 741,645 x 1,234 = 915.2M.</t>
  </si>
  <si>
    <t xml:space="preserve">Bladen</t>
  </si>
  <si>
    <t xml:space="preserve">Gebruikt: 45 technieken uit alle oplossingen (154 inzendingsnotities gelezen + leader-broncode).</t>
  </si>
  <si>
    <t xml:space="preserve">Ongebruikt: 36 quantum-computing technieken die de leader niet gebruikt, incl. recent werk (2024-2026).</t>
  </si>
  <si>
    <t xml:space="preserve">Tekstboek: 35 methoden van 2-qubit-poorten tot 256-bit bouwstenen; kolom Opmerking zegt of ze in het nieuwe ontwerp zitten.</t>
  </si>
  <si>
    <t xml:space="preserve">Weging: extra eigenschappen + gewichtenmodel (gele cellen aanpasbaar); score per kandidaat is een formule.</t>
  </si>
  <si>
    <t xml:space="preserve">Gelijkheid: Gower-gelijkenis van elke kandidaat met elke gebruikte techniek (14 numerieke kenmerken, formules).</t>
  </si>
  <si>
    <t xml:space="preserve">Ontwerp: het nieuwe ontwerp zonder leader-constructies, opgebouwd uit primitieven (formules; blauwe cellen = invoer).</t>
  </si>
  <si>
    <t xml:space="preserve">Vergelijking: leader, Google (README), gepubliceerd, nieuwe varianten.</t>
  </si>
  <si>
    <t xml:space="preserve">Mijlpalen: alle stappen die &gt;=1% van de beste score afhaalden.</t>
  </si>
  <si>
    <t xml:space="preserve">Kleuren</t>
  </si>
  <si>
    <t xml:space="preserve">Blauw = ingevoerde waarde (bron of oordeel); zwart = formule; groen = verwijzing naar ander blad; geel = gewicht om aan te passen.</t>
  </si>
  <si>
    <t xml:space="preserve">Status van de waarden</t>
  </si>
  <si>
    <t xml:space="preserve">Gemeten in deze repo: transcript lokaal 694 bits; Fermat-pebbling 961B; divsteps 591 stappen, max 535 op 1M invoeren; railbreedtes.</t>
  </si>
  <si>
    <t xml:space="preserve">Uit bronnen: Google-punten (README), gepubliceerde scores, Toffoli-formules van primitieven (citaten in kolom Bron).</t>
  </si>
  <si>
    <t xml:space="preserve">Oordeel (schatting): coherentie, complexiteit, volwassenheid, T/Q-effect op de leader, extra eigenschappen in Weging.</t>
  </si>
  <si>
    <t xml:space="preserve">Gebruikte technieken: kenmerken per categorie afgeleid (CAT_DEFAULTS in build_workbook.py) + vlaggen uit de notities.</t>
  </si>
  <si>
    <t xml:space="preserve">Het ontwerp is een kostenmodel, geen gebouwd circuit: het is niet door eval_circuit gevalideerd.</t>
  </si>
  <si>
    <t xml:space="preserve">Technieken in alle ingediende oplossingen (inclusief leader)</t>
  </si>
  <si>
    <t xml:space="preserve">ID</t>
  </si>
  <si>
    <t xml:space="preserve">Techniek</t>
  </si>
  <si>
    <t xml:space="preserve">Categorie</t>
  </si>
  <si>
    <t xml:space="preserve">Vakgebied</t>
  </si>
  <si>
    <t xml:space="preserve">Jaar</t>
  </si>
  <si>
    <t xml:space="preserve">Bron</t>
  </si>
  <si>
    <t xml:space="preserve">Primair doel</t>
  </si>
  <si>
    <t xml:space="preserve">Vast aantal qubits nodig</t>
  </si>
  <si>
    <t xml:space="preserve">Extra qubits @256 (schatting)</t>
  </si>
  <si>
    <t xml:space="preserve">Ancilla-type</t>
  </si>
  <si>
    <t xml:space="preserve">Coherentie-eis (1-5)</t>
  </si>
  <si>
    <t xml:space="preserve">Verstrengeling met data nodig</t>
  </si>
  <si>
    <t xml:space="preserve">Mid-circuit meting</t>
  </si>
  <si>
    <t xml:space="preserve">Klassieke feedforward</t>
  </si>
  <si>
    <t xml:space="preserve">Exact / benaderd</t>
  </si>
  <si>
    <t xml:space="preserve">Foutkans</t>
  </si>
  <si>
    <t xml:space="preserve">Toffoli-schaal</t>
  </si>
  <si>
    <t xml:space="preserve">Qubit-schaal</t>
  </si>
  <si>
    <t xml:space="preserve">Diepte-schaal</t>
  </si>
  <si>
    <t xml:space="preserve">Challenge-gateset ok</t>
  </si>
  <si>
    <t xml:space="preserve">Rotaties nodig</t>
  </si>
  <si>
    <t xml:space="preserve">Data-afhankelijk pad</t>
  </si>
  <si>
    <t xml:space="preserve">Uncompute-methode</t>
  </si>
  <si>
    <t xml:space="preserve">Vooraf berekende tabellen</t>
  </si>
  <si>
    <t xml:space="preserve">Fase-risico</t>
  </si>
  <si>
    <t xml:space="preserve">Complexiteit (1-5)</t>
  </si>
  <si>
    <t xml:space="preserve">Volwassenheid (1-5)</t>
  </si>
  <si>
    <t xml:space="preserve">T-effect op leader (%)</t>
  </si>
  <si>
    <t xml:space="preserve">Q-effect op leader (qubits)</t>
  </si>
  <si>
    <t xml:space="preserve">In leader</t>
  </si>
  <si>
    <t xml:space="preserve">Elders gebruikt</t>
  </si>
  <si>
    <t xml:space="preserve">Opmerking</t>
  </si>
  <si>
    <t xml:space="preserve">f:vast</t>
  </si>
  <si>
    <t xml:space="preserve">f:ancilla</t>
  </si>
  <si>
    <t xml:space="preserve">f:coherentie</t>
  </si>
  <si>
    <t xml:space="preserve">f:verstrengeling</t>
  </si>
  <si>
    <t xml:space="preserve">f:meting</t>
  </si>
  <si>
    <t xml:space="preserve">f:feedforward</t>
  </si>
  <si>
    <t xml:space="preserve">f:exact</t>
  </si>
  <si>
    <t xml:space="preserve">f:gateset</t>
  </si>
  <si>
    <t xml:space="preserve">f:rotaties</t>
  </si>
  <si>
    <t xml:space="preserve">f:data-afh</t>
  </si>
  <si>
    <t xml:space="preserve">f:uncompute</t>
  </si>
  <si>
    <t xml:space="preserve">f:tabellen</t>
  </si>
  <si>
    <t xml:space="preserve">f:complexiteit</t>
  </si>
  <si>
    <t xml:space="preserve">f:volwassenheid</t>
  </si>
  <si>
    <t xml:space="preserve">G01</t>
  </si>
  <si>
    <t xml:space="preserve">Kaliski binary-GCD inversion (Roetteler two-Kaliski affine point-add)</t>
  </si>
  <si>
    <t xml:space="preserve">inversion/GCD</t>
  </si>
  <si>
    <t xml:space="preserve">mathematics</t>
  </si>
  <si>
    <t xml:space="preserve">2026</t>
  </si>
  <si>
    <t xml:space="preserve">ecdsa.fail baseline (pre-30c8ded) (challenge baseline, 2026-05-30)</t>
  </si>
  <si>
    <t xml:space="preserve">T+Q</t>
  </si>
  <si>
    <t xml:space="preserve">ja</t>
  </si>
  <si>
    <t xml:space="preserve">-</t>
  </si>
  <si>
    <t xml:space="preserve">schoon</t>
  </si>
  <si>
    <t xml:space="preserve">nee</t>
  </si>
  <si>
    <t xml:space="preserve">exact</t>
  </si>
  <si>
    <t xml:space="preserve">0</t>
  </si>
  <si>
    <t xml:space="preserve">O(n^2)</t>
  </si>
  <si>
    <t xml:space="preserve">O(n)</t>
  </si>
  <si>
    <t xml:space="preserve">Bennett</t>
  </si>
  <si>
    <t xml:space="preserve">laag</t>
  </si>
  <si>
    <t xml:space="preserve">Baseline: affine point add with two reversible Kaliski binary-GCD modular inversions holding explicit Bezout (r,s) registers. | effect: baseline 10,758,874,395 (derived) = ~3.96M T x 2715 Q; inverse ~79% of Toffoli per f94f726 | Named in f94f726/42d936f notes. Kaliski/dialog code absent from leader (grep). anupsv 1b4e026 tested a single batched inversion (c = dx^3*e) and found it net-negative (+256 peak).</t>
  </si>
  <si>
    <t xml:space="preserve">G02</t>
  </si>
  <si>
    <t xml:space="preserve">(r,s) cswap boundary merge</t>
  </si>
  <si>
    <t xml:space="preserve">scheduling/fusion</t>
  </si>
  <si>
    <t xml:space="preserve">computer science</t>
  </si>
  <si>
    <t xml:space="preserve">ecdsa.fail d35d6e7 (Gajesh2007, 2026-05-31)</t>
  </si>
  <si>
    <t xml:space="preserve">T</t>
  </si>
  <si>
    <t xml:space="preserve">geen</t>
  </si>
  <si>
    <t xml:space="preserve">Fuse step9(k) and step3(k+1) Bezout conditional swaps across Kaliski iterations via cswap(a)*cswap(b)=cswap(a xor b) with a frame-parity qubit. | effect: -274k Toffoli, peak-neutral; -6.92% vs running best | Kaliski-era only.</t>
  </si>
  <si>
    <t xml:space="preserve">G03</t>
  </si>
  <si>
    <t xml:space="preserve">(u,v_w) cswap boundary merge on equality-free prefix</t>
  </si>
  <si>
    <t xml:space="preserve">ecdsa.fail 112d5a4 (Gajesh2007, 2026-06-01)</t>
  </si>
  <si>
    <t xml:space="preserve">Same cswap-fusion identity applied to the GCD operand pair for an early safe prefix of iterations where u != v_w (comparison correction gt ^= frame valid). | effect: -7.19% vs running best (T 3.64M-&gt;3.36M at 2310 Q) | Safe-prefix length later extended (0a0a631: 254-&gt;255; d1d29eb 329-&gt;331) with reroll co-tuning.</t>
  </si>
  <si>
    <t xml:space="preserve">G04</t>
  </si>
  <si>
    <t xml:space="preserve">Carry/scratch hosting on provably-|0&gt; or idle wires</t>
  </si>
  <si>
    <t xml:space="preserve">width/qubit management</t>
  </si>
  <si>
    <t xml:space="preserve">ecdsa.fail f94f726 (Gajesh2007, 2026-05-31)</t>
  </si>
  <si>
    <t xml:space="preserve">Q</t>
  </si>
  <si>
    <t xml:space="preserve">vuil</t>
  </si>
  <si>
    <t xml:space="preserve">benaderd</t>
  </si>
  <si>
    <t xml:space="preserve">per shot (lambda)</t>
  </si>
  <si>
    <t xml:space="preserve">O(1)</t>
  </si>
  <si>
    <t xml:space="preserve">meting</t>
  </si>
  <si>
    <t xml:space="preserve">midden</t>
  </si>
  <si>
    <t xml:space="preserve">deels</t>
  </si>
  <si>
    <t xml:space="preserve">Borrow adder carry lanes and history bits from registers proven zero at that instant (future history bits, shrinking high bits of u/v/s/r, idle transcript/future-log slots) instead of dedicated ancilla. | effect: f94f726: -126k T (late carry recovery) and peak 2459-&gt;2333 (9n floor); 0620443 C*/dialog-fold: peak 2309-&gt;2025; 744b274 host-gated: 1698-&gt;1572 (with windowed apply); 53cab17/40e10ac: 1466-&gt;1446; 62c8115 composite scratch: -&gt;1355 | Merged family: late-iteration carry recovery, 9n carry-borrow, dialog history-fold into v_w high bits, C* carry-pool relocation (0620443), HOST_GATED/compos</t>
  </si>
  <si>
    <t xml:space="preserve">G05</t>
  </si>
  <si>
    <t xml:space="preserve">Joint-pin peak analysis / peak-owner tracing and qubit-cap retuning</t>
  </si>
  <si>
    <t xml:space="preserve">Treat the peak as a tie of several co-resident clusters, trace binders per phase, attack all together; later pin an explicit walk cap and retune cap vs reorder for the Q x T optimum. | effect: f94f726 plateau break 2708-&gt;2565-&gt;2459; c8f6ff0 measured cap 1263-&gt;1260; 6e00c30 cap 1239-&gt;1244 (+5 Q, -3.5k T) net -0.03% | Methodology plus knobs; break-even quoted as ~640-723 Toffoli per qubit at ~1.24k Q (6e00c30, 21a0ba3). Majority packing / cap-1234 retiming by mochimodev (a362dca) credited in 076f110, not read.</t>
  </si>
  <si>
    <t xml:space="preserve">G06</t>
  </si>
  <si>
    <t xml:space="preserve">Iteration / round-count trimming</t>
  </si>
  <si>
    <t xml:space="preserve">approximation</t>
  </si>
  <si>
    <t xml:space="preserve">statistics</t>
  </si>
  <si>
    <t xml:space="preserve">ecdsa.fail c8f4367 (mmurrs, 2026-05-31)</t>
  </si>
  <si>
    <t xml:space="preserve">Lower the fixed number of GCD iterations/rounds/ticks to the empirical convergence tail, co-tuned with the test island. | effect: per step: e.g. 42d936f -14k T (pair2 401-&gt;397); 40e10ac ACTIVE 399-&gt;397 -4.3k T; ~3k T per step in 1153Q route (b87bdf7) | PR 419/mochimodev limiting contract (8186402) forbids pure round reductions as error-for-score trades; 02146ca deliberately ADDED 3 divsteps (258-&gt;261) to buy lambda.</t>
  </si>
  <si>
    <t xml:space="preserve">G07</t>
  </si>
  <si>
    <t xml:space="preserve">W-TRUNC empirical width-envelope truncation</t>
  </si>
  <si>
    <t xml:space="preserve">ecdsa.fail 437e22a (Gajesh2007, 2026-06-01)</t>
  </si>
  <si>
    <t xml:space="preserve">Size each GCD-step width loop (OR chain, comparator, add/sub) to a fitted empirical bit-length envelope + margin instead of the provable worst case. | effect: -8.73% vs running best (T 3.36M-&gt;3.06M); margin/K0 retunes 70699b7 -1.56%, 4a11f65 -1.38%, 03499c8 -1.46%; dialog-era width margin/slope 37816e7 -1.31%, 730949a -1.14%, 64f75ba -1.80% | Family includes Kaliski W-TRUNC, dialog-GCD active-width margin/slope (08573bd), ping-pong SLOPE_2 (9dcbdb8), leapfrog joint 'peeling' envelope fit on 1.92M walks (53986ea). Failures surface as classical mismatches.</t>
  </si>
  <si>
    <t xml:space="preserve">G08</t>
  </si>
  <si>
    <t xml:space="preserve">Realizable-width truncation of conditional swaps</t>
  </si>
  <si>
    <t xml:space="preserve">ecdsa.fail 2ca410f (Gajesh2007, 2026-06-01)</t>
  </si>
  <si>
    <t xml:space="preserve">Truncate the Kaliski STEP-3/9 (u,v_w) conditional swaps to the W-TRUNC width + margin instead of the invariant 2n-iter. | effect: -212,688 emitted CCX (-7.5%); -6.41% vs running best | cswaps were ~27% of Toffoli. Leapfrog's fixed alternating roles remove data-dependent swaps entirely.</t>
  </si>
  <si>
    <t xml:space="preserve">G09</t>
  </si>
  <si>
    <t xml:space="preserve">Carry-tail / fold-window truncation for the sparse constant f=2^32+977</t>
  </si>
  <si>
    <t xml:space="preserve">ecdsa.fail 037fd71 (Gajesh2007, 2026-06-01)</t>
  </si>
  <si>
    <t xml:space="preserve">In +-c constant adders and pseudo-Mersenne folds, cut the carry/borrow ripple a window W above bit 32; propagation beyond has probability ~2^-W. | effect: -2.04% vs running best (037fd71); W 96-&gt;59 f751e0b -0.49%; DIRECT_CONST_DOUBLE routing 375fdff -3.32%; apply-phase double/halve trunc 66ad478 (-152,520 T) | solimander 22bae60 found it unsound for the dense constant p+1 and added a constant-aware window. 375fdff routed mod_double through the register-free direct const-add so truncation applies. 21a0ba3 argues ENDPOINT_FOLD_WINDOW 54-&gt;40 is 'provably lambda-free' (~2^-40).</t>
  </si>
  <si>
    <t xml:space="preserve">G10</t>
  </si>
  <si>
    <t xml:space="preserve">Correction-free doubling for small r (R_SMALL threshold)</t>
  </si>
  <si>
    <t xml:space="preserve">reduction</t>
  </si>
  <si>
    <t xml:space="preserve">ecdsa.fail 42d936f (bxue-l2, 2026-06-01)</t>
  </si>
  <si>
    <t xml:space="preserve">In early Kaliski iterations where r is provably/empirically small, replace mod_double(r) by a plain shift (no reduction). | effect: ~255 CCX per affected iteration (ea4f6e0); mostly used as a re-roll knob | Pre-existing in the tree when first mentioned (R_SMALL_THRESHOLD=326); origin not read. Kaliski-era only.</t>
  </si>
  <si>
    <t xml:space="preserve">G11</t>
  </si>
  <si>
    <t xml:space="preserve">Fiat-Shamir reroll / identity-tail nonce island selection</t>
  </si>
  <si>
    <t xml:space="preserve">validation/nonce</t>
  </si>
  <si>
    <t xml:space="preserve">cryptography</t>
  </si>
  <si>
    <t xml:space="preserve">ecdsa.fail 0ae959c (Epistetechnician, 2026-06-02)</t>
  </si>
  <si>
    <t xml:space="preserve">Append identity X;X pairs whose targets encode a nonce; this changes the SHAKE256 hash of the op stream and so re-draws the 9,024 test inputs without changing the circuit. Pick a nonce on which every shot passes. | effect: no direct T/Q change; enables every truncation. Nonce also moves avg executed T by ~10-15k band (b5fa90f, 7bb8713) | First seen as KAL_REROLL (0ae959c; Gajesh 2a05eae and 08573bd describe the 'island lottery'). Fixed-length 96-op tail with prefix-hash reuse introduced by stevenhao f026481 (2026-06-04); compact base-1024 tail by swadhin 6f8aba7. jtrose24 f1acd7f flags the int</t>
  </si>
  <si>
    <t xml:space="preserve">G12</t>
  </si>
  <si>
    <t xml:space="preserve">Classical prefilter + GPU nonce search pipeline</t>
  </si>
  <si>
    <t xml:space="preserve">ecdsa.fail 823b7cf (zuiris, 2026-06-05)</t>
  </si>
  <si>
    <t xml:space="preserve">Bit-exact classical replay of the GCD/walk (and later phase-repair sites) on candidate nonces, GPU-parallel, with survivors confirmed by the trusted 9,024-shot evaluator. | effect: search cost only; e.g. 9e1ab6a scanned 2.3e10 seeds on ~28 RTX 4090s; 6e00c30 expects ~1.2e8 nonces at lambda 18.6 | External tooling, not in src/point_add. Jieyi Long's public ecdsafail_gpu_toolkit credited from ca5f0c3 onward. Input derivation reimplemented with Jacobian + comb + Montgomery batch inversion.</t>
  </si>
  <si>
    <t xml:space="preserve">G13</t>
  </si>
  <si>
    <t xml:space="preserve">Lambda budget economics and limiting contract</t>
  </si>
  <si>
    <t xml:space="preserve">ecdsa.fail 02146ca (Gajesh2007, 2026-07-26)</t>
  </si>
  <si>
    <t xml:space="preserve">Model failing shots per 9,024 as Poisson lambda (classical + phase); minimise score subject to lambda being grindable; buy lambda back with exact cuts and spend it where Toffoli-per-lambda is highest. | effect: 02146ca measured head lambda_total=23.29, P(clean)=7.7e-11; 9dcbdb8 trade table (ROUNDS_MUL -6 vs -2: 10.6x hunt cost); contract caps lambda at 18, later 19.5 | Methodology, not a gate-level technique. Social rule introduced with PR 419 (8186402, mochimodev, 2026-09-25): lambda&lt;=18 on 9,024 shots, no direct error-for-score trades; later raised to 19.5 after Telegram discussion.</t>
  </si>
  <si>
    <t xml:space="preserve">G14</t>
  </si>
  <si>
    <t xml:space="preserve">Measurement-based uncomputation (Gidney HMR + classically-controlled CZ)</t>
  </si>
  <si>
    <t xml:space="preserve">uncomputation</t>
  </si>
  <si>
    <t xml:space="preserve">physics</t>
  </si>
  <si>
    <t xml:space="preserve">hoog</t>
  </si>
  <si>
    <t xml:space="preserve">Uncompute AND ancillas and adder carry lanes by X-basis measurement plus a measurement-conditioned phase fix (0 Toffoli) instead of a mirrored Toffoli sweep. | effect: 75927ba comparator -209,520 T (-7.21%); df59687 sub-clear + comparator fast-eval (-6.27%); 1f7aabe apply sub -102k T (-4.90%); 690bdb9/8ee9ad8 -23.9k T each | c8f4367 already uses a 'measurement-uncomputed fast Cuccaro' path; origin earlier than read notes. Value-exact; failures only if phase fix is wrong.</t>
  </si>
  <si>
    <t xml:space="preserve">G15</t>
  </si>
  <si>
    <t xml:space="preserve">Dialog-GCD: record-and-replay transcript instead of Bezout registers</t>
  </si>
  <si>
    <t xml:space="preserve">ecdsa.fail 0c1d4d9 (pldallairedemers, 2026-06-02)</t>
  </si>
  <si>
    <t xml:space="preserve">Run the binary GCD forward recording per-step branch decisions in a sidecar log, replay the log to apply the quotient to the payload, then reverse; no explicit (r,s) cofactor registers. | effect: -18.83% vs running best; peak 2006-&gt;1698, T 2.55M-&gt;2.45M | Ported 'TensorFurnace' framework (note is short). Lineage: dialog-GCD -&gt; K=2 jump -&gt; trailmix -&gt; ping-pong -&gt; Skywalk -&gt; Leapfrog all record a transcript and replay it on the payload.</t>
  </si>
  <si>
    <t xml:space="preserve">G16</t>
  </si>
  <si>
    <t xml:space="preserve">Transcript compression codecs</t>
  </si>
  <si>
    <t xml:space="preserve">encoding/transcript</t>
  </si>
  <si>
    <t xml:space="preserve">information theory</t>
  </si>
  <si>
    <t xml:space="preserve">Pack the GCD decision transcript below 1 qubit per raw bit using reachability constraints (compressed sidecar blocks, K2 pair 6-&gt;5 bits, base-5 triples 9-&gt;7 bits, Skywalk ternary 5 steps in 8 qubits, SAT-synthesized in-place pairs core). | effect: 351373f K2 pair compressor: drops to 1313 Q tier; af5abb1 tob-joe: resident tape 603q vs ~775 raw | Inline/streamed compression so the raw tape never exists (af5abb1).</t>
  </si>
  <si>
    <t xml:space="preserve">G17</t>
  </si>
  <si>
    <t xml:space="preserve">Truncated top-window comparators</t>
  </si>
  <si>
    <t xml:space="preserve">Decide branch (u&gt;v), flag and chunk-boundary predicates using only the top k bits of the active window, with per-step schedules. | effect: 4ac4a16 72-&gt;68 (~20k T); f1acd7f 75-&gt;63 (-1.48%); 66ad478 per-step schedule (-5,384 T); leapfrog W1 24-&gt;18 bits (a02c716) | Many single-bit retunes (COMPARE_BITS 59..44, APPLY_CLEAN 22..18, REPLAY_CHUNK_COMPARE 26-&gt;21) are the same family.</t>
  </si>
  <si>
    <t xml:space="preserve">G18</t>
  </si>
  <si>
    <t xml:space="preserve">Fused branch-bit comparator</t>
  </si>
  <si>
    <t xml:space="preserve">ecdsa.fail fd70a60 (Epistetechnician, 2026-06-02)</t>
  </si>
  <si>
    <t xml:space="preserve">Emit b0 AND b1 directly under the control from the in-flight comparator carry, avoiding an intermediate compare qubit and its uncompute. | effect: -3.32% vs running best (T 1.93M-&gt;1.86M) | f2cd713 later hosted this comparator's carry lane on future-log slots (peak 1500-&gt;1466).</t>
  </si>
  <si>
    <t xml:space="preserve">G19</t>
  </si>
  <si>
    <t xml:space="preserve">Chunked/windowed adders with measured boundary-carry erasure</t>
  </si>
  <si>
    <t xml:space="preserve">adder</t>
  </si>
  <si>
    <t xml:space="preserve">ecdsa.fail 744b274 (saucegodbased, 2026-06-02)</t>
  </si>
  <si>
    <t xml:space="preserve">Split a wide ripple add into blocks so the full carry lane never coexists with other wide registers; clear each block-boundary carry by HMR plus a (truncated) comparator repair. | effect: 744b274: peak 1698-&gt;1572 (+102k T); 3bd3aa5 chunked f-materialization -3.09%; 67be862 apply teardown 1382-&gt;1320 Q | Boundary repair compares are a truncation (2^-k per boundary, k~21-25). Later refinements: lazy carry-out allocation and eager boundary erasure (21a0ba3), budgeted chunk count per round (bc7a792).</t>
  </si>
  <si>
    <t xml:space="preserve">G20</t>
  </si>
  <si>
    <t xml:space="preserve">Odd low-bit / parked constant bit 0</t>
  </si>
  <si>
    <t xml:space="preserve">ecdsa.fail 73f81cc (Epistetechnician, 2026-06-02)</t>
  </si>
  <si>
    <t xml:space="preserve">Odd operands have bit 0 = 1 on the reachable path: replace CCX by CX on lane 0, skip lane-0 swaps, and later park bit 0 off-register for the whole walk. | effect: ~-3,192 T (b54d856); c8f6ff0 parked bit 0: -274 executed T; frees 2 walk wires | Exact on the reachable support.</t>
  </si>
  <si>
    <t xml:space="preserve">G21</t>
  </si>
  <si>
    <t xml:space="preserve">Affine square-recompute and lambda^2 lifetime shortening</t>
  </si>
  <si>
    <t xml:space="preserve">Early-uncompute the 512-bit lambda^2 product, run the y-multiply without it, recompute once to clear; and free the dead square temp at the fused affine instant. | effect: f94f726 affine low-scratch 2565-&gt;2459; 0620443 AFFINE_SQUARE_RECOMPUTE part of 2309-&gt;2025 | Pays one extra symmetric-square pair for the qubit saving.</t>
  </si>
  <si>
    <t xml:space="preserve">G22</t>
  </si>
  <si>
    <t xml:space="preserve">Karatsuba squaring (recursive, in place)</t>
  </si>
  <si>
    <t xml:space="preserve">multiplication</t>
  </si>
  <si>
    <t xml:space="preserve">ecdsa.fail 0399ebe (prasiddhnaik, 2026-06-02)</t>
  </si>
  <si>
    <t xml:space="preserve">O(n^1.58)</t>
  </si>
  <si>
    <t xml:space="preserve">Square via Karatsuba split x^2 = a^2 + 2ab&lt;&lt;k + b^2 with 2ab = t^2-a^2-b^2, t formed in place; recursion depth chosen by break-even (~60 bits); sequential half-square recombination to keep one product live. | effect: 717b405 sequential recombination -1.36% vs running best; 9e1ab6a second split level -1,211 T; schoolbook-vs-Karatsuba swaps used for peak (f94f726, 62c8115) | First read mention is 0399ebe ('Karatsuba x-tail' already present); origin not read (inferred earlier, ROUND84 lineage). b87bdf7 reports a 2-level recursion regressed on the 1153Q route.</t>
  </si>
  <si>
    <t xml:space="preserve">G23</t>
  </si>
  <si>
    <t xml:space="preserve">Chained-row square with held carries and split first reduction</t>
  </si>
  <si>
    <t xml:space="preserve">ecdsa.fail e3b5c51 (zuiris, 2026-10-20)</t>
  </si>
  <si>
    <t xml:space="preserve">Add C = s^2 directly into the output with chained rows, holding carries and erasing them together, REDC-style one-digit frame travel, witness erase by measurement, and the square's first reduction split into digits. | effect: e3b5c51 G1M square -1,950 T (part of -0.601%); e4075d6 split first reduction -399 T | G1M uses a 21-bit overflow check (approximate); other parts exact per note.</t>
  </si>
  <si>
    <t xml:space="preserve">G24</t>
  </si>
  <si>
    <t xml:space="preserve">Pseudo-Mersenne (Solinas) fold reduction</t>
  </si>
  <si>
    <t xml:space="preserve">Reduce mod p = 2^256 - (2^32+977) by folding high words times f into the low word; lazy/in-place variants, shift-by-22 forms, mask-free folds. | effect: f94f726 Solinas low-scratch 2333-&gt;2310 Q; 835298d in-place Solinas fold -13,360 T | Present from the baseline in some form (inferred). Shift-by-22 later replaced by a value-identical 22x double / sub / 22x halve walk to save peak (cbc35ea, 83e3b66).</t>
  </si>
  <si>
    <t xml:space="preserve">G25</t>
  </si>
  <si>
    <t xml:space="preserve">One fold per payload tick (deferred reduction)</t>
  </si>
  <si>
    <t xml:space="preserve">ecdsa.fail e9cacd1 (krishparadox, 2026-10-09)</t>
  </si>
  <si>
    <t xml:space="preserve">Do the three signed adds of a payload tick on a 259-bit integer with no folds in between, then fold once; later an in-place fold with a reduction digit of up to 10 bits. | effect: -1.45% vs running best (-11,416 T builder count); 4cb9cf0 in-place 10-bit fold within lever A | Fold window 56-&gt;57 bought back failing shots (+268 T).</t>
  </si>
  <si>
    <t xml:space="preserve">G26</t>
  </si>
  <si>
    <t xml:space="preserve">Conditional replay exploiting average-executed Toffoli</t>
  </si>
  <si>
    <t xml:space="preserve">ecdsa.fail 4b7d727 (BitWonka, 2026-06-08)</t>
  </si>
  <si>
    <t xml:space="preserve">Put boundary steps under classical (measurement-outcome) conditions so their Toffolis execute on only a fraction of shots; the score counts average executed, not emitted, Toffoli. | effect: -3.49% vs running best (emitted 1,452,820 vs avg executed 1,404,058); 52c6b6b extension -1.20% | The author flags in the note that physical hardware would execute every emitted gate, so emitted count is the meaningful cost. b5fa90f notes that the nonce flips some Toffolis between depth 0 and depth 1, so cost is nonce-dependent.</t>
  </si>
  <si>
    <t xml:space="preserve">G27</t>
  </si>
  <si>
    <t xml:space="preserve">Classical offset point held in classical bit registers</t>
  </si>
  <si>
    <t xml:space="preserve">classical/precompute</t>
  </si>
  <si>
    <t xml:space="preserve">ecdsa.fail af5abb1 (tob-joe, 2026-06-19)</t>
  </si>
  <si>
    <t xml:space="preserve">Keep the classical point Q as 2x256 classical bits, loading only transient quantum temps off-peak, so Q never occupies qubits at the GCD peak. | effect: stated as the decisive -512q product-min lever of trailmix-ludicrous (af5abb1) | Inferred: the challenge ABI already supplies Q classically (3616dbf), so the lever is not materialising it in qubits. Earlier routes may have done so (not verified).</t>
  </si>
  <si>
    <t xml:space="preserve">G28</t>
  </si>
  <si>
    <t xml:space="preserve">Multi-bit shift per GCD step (jump-GCD K=2 to 8-way barrel e&lt;=7)</t>
  </si>
  <si>
    <t xml:space="preserve">ecdsa.fail ca1cd1f (johnbxx, 2026-06-05)</t>
  </si>
  <si>
    <t xml:space="preserve">Strip several trailing zeros per step (K=2 bounded shift / Schrottenloher jump-2; leapfrog 2-stage barrel e in [0,3]; lever A e&lt;=7 with a per-rail (3,1) record) to cut step count. | effect: ca1cd1f iterations ~393-&gt;~259, -4.53% vs running best; 4cb9cf0 lever A 138-&gt;122 ticks, -16,281 T for +8 Q (-0.75%) | Barrel = 4-way (later 8-way) rotation from controlled reflections (1.5n-2 CSWAPs) plus a merged constant fold. Zero-fill rail barrel (e4075d6, -731.5 T) is a later refinement (RAIL_ZERO_FILL in mod.rs).</t>
  </si>
  <si>
    <t xml:space="preserve">G29</t>
  </si>
  <si>
    <t xml:space="preserve">Ping-pong fixed-schedule signed binary division</t>
  </si>
  <si>
    <t xml:space="preserve">ecdsa.fail 3616dbf (teddyjfpender, 2026-08-21)</t>
  </si>
  <si>
    <t xml:space="preserve">Two signed odd rails; the target alternates by round number; the low-bit predicate picks add/sub so (t+-s)/2 stays odd; one sign bit per round on a tape; multiply via the algebraic inverse recurrence T = 2T' + gS. | effect: -14.82% vs running best; Q 1150-&gt;1321 (up), T 1,284,776-&gt;952,707 | No data-dependent routing swaps. lambda ~1.2 at first (7bb8713), far below the trailmix route's 23.29.</t>
  </si>
  <si>
    <t xml:space="preserve">G30</t>
  </si>
  <si>
    <t xml:space="preserve">Interleaved walk/replay schedule</t>
  </si>
  <si>
    <t xml:space="preserve">ecdsa.fail aac98e9 (0xrlawrence, 2026-08-21)</t>
  </si>
  <si>
    <t xml:space="preserve">Replay coefficient round r while the walk is at round r (tape and payload only meet near the end), turning a flat peak into a ramp; budgeted chunk counts and segmented folds per round. | effect: aac98e9 1300-&gt;1279 Q (-1.18%); bc7a792 fused schedule 1316-&gt;1281 Q (-1.55% stated) | Two near-simultaneous independent versions (bc7a792 Akashneelesh 18:23, aac98e9 0xrlawrence 18:42 on 2026-08-21).</t>
  </si>
  <si>
    <t xml:space="preserve">G31</t>
  </si>
  <si>
    <t xml:space="preserve">Rails-only / payload-only early-tick reorder</t>
  </si>
  <si>
    <t xml:space="preserve">ecdsa.fail 53986ea (BitWonka, 2026-10-07)</t>
  </si>
  <si>
    <t xml:space="preserve">For early ticks run the rails alone (one payload register live, no split adders), then replay the payload over the taped letters while the rails stay parked. | effect: -5.9k T (leapfrog.rs recipe comment); boundary retuned 73-77 | </t>
  </si>
  <si>
    <t xml:space="preserve">G32</t>
  </si>
  <si>
    <t xml:space="preserve">Terminal passenger loan / known-copy wire lending</t>
  </si>
  <si>
    <t xml:space="preserve">ecdsa.fail 21a0ba3 (0xrlawrence, 2026-08-21)</t>
  </si>
  <si>
    <t xml:space="preserve">At walk termination u,v in {+1,-1}, so non-sign wires are copies of the sign or constants; clear them with CX, free them across the replay, and restore them afterwards. | effect: -15 qubits (1317-&gt;1302), part of -1.15% vs running best | One-bit passenger loan by welttowelt preceded it (credited, not read).</t>
  </si>
  <si>
    <t xml:space="preserve">G33</t>
  </si>
  <si>
    <t xml:space="preserve">Skywalk min-source GCD in sum/difference frame</t>
  </si>
  <si>
    <t xml:space="preserve">ecdsa.fail 4f0d213 (mochimodev, 2026-09-29)</t>
  </si>
  <si>
    <t xml:space="preserve">Represent the pair as {u+v,u}; route the even rail to halving, replace the other by |O-H| with signed add/sub; orientation + sign-flip bits form a 3-symbol history (5 steps in 8 qubits). | effect: Q 1250-&gt;1174 at T 888,879-&gt;946,250; score -0.02% | ~390 steps vs ping-pong ~700. By Matt Zweil / MAI-A.A.E.</t>
  </si>
  <si>
    <t xml:space="preserve">G34</t>
  </si>
  <si>
    <t xml:space="preserve">Leapfrog route-free multi-step 2-adic walk</t>
  </si>
  <si>
    <t xml:space="preserve">Odd rails alternate target roles on a fixed schedule; each tick does two forced add-halves, one deep/flat choice add-halve (top-window compare), and a barrel strip; 5-qubit letter per tick; 4 payload updates per leap. | effect: -9.74% vs running best (1,107,467,010 -&gt; 999,570,880; Q 1170-&gt;1243, T 946,553-&gt;804,160) | lambda 14.4 at introduction. Later refinements: size-test choice rule, 138 ticks (c2fb64c), lever A 122 ticks (4cb9cf0).</t>
  </si>
  <si>
    <t xml:space="preserve">G35</t>
  </si>
  <si>
    <t xml:space="preserve">Merged last cell + barrel Montgomery-style op and minimal-AND (rank-bound) rewrites</t>
  </si>
  <si>
    <t xml:space="preserve">Fuse the third add-halve and the 2^-e rotation into one op; rewrite small corrections to their AND rank lower bound (U4: u=x+ov+15sg -&gt; (x+ov-sg)+16sg with 4 ANDs instead of 8; 10-AND table; XOR-of-existing-ANDs letters). | effect: U4 (0393770, mochimodev): -968 expected T; 242c0de nine exact rewrites: -3,872 T | Exact rewrites, verified on common inputs (242c0de) or all 64 helper inputs (U4).</t>
  </si>
  <si>
    <t xml:space="preserve">G36</t>
  </si>
  <si>
    <t xml:space="preserve">Tick-0 letter off the tape, short last tick, and size-test choice rule</t>
  </si>
  <si>
    <t xml:space="preserve">ecdsa.fail c2fb64c (krishparadox, 2026-10-08)</t>
  </si>
  <si>
    <t xml:space="preserve">Measure tick 0's letter away after its last read and re-derive it from the source rail at the walk end; make the last tick a choice-only 3-bit letter; use a one-chain size test in the deep/flat rule so slow walks finish one tick sooner. | effect: -1.04% vs running best (139-&gt;138 ticks, cap 1240-&gt;1237) | </t>
  </si>
  <si>
    <t xml:space="preserve">G37</t>
  </si>
  <si>
    <t xml:space="preserve">Census-mined dead-gate strip and CCX-&gt;CX/CZ downgrades</t>
  </si>
  <si>
    <t xml:space="preserve">ecdsa.fail dcbafc5 (mochimodev, 2026-07-11)</t>
  </si>
  <si>
    <t xml:space="preserve">Simulate the exact stream on many random valid inputs, record per Toffoli whether its AND ever fired or always equalled one control, then delete or downgrade by op-index table bound to the stream hash. | effect: dcbafc5 2,101 CCX (-0.15%); 3493c83 action mask 16,850 actions; 02146ca 1e9-input census 9,268 dead + 2,050 downgrades; 076f110 156 cuts on 24.2M shots (-148.5 T); 46ae05c failure-priced k&lt;=7 (-317.5 T) | Sampled-exact, not proved: 076f110 shows 86 of 242 candidates clean at 8M shots fire by 24M. b5fa90f: true greedy re-evaluation of marginal coverage under a risk budget. dcbafc5 itsel</t>
  </si>
  <si>
    <t xml:space="preserve">G38</t>
  </si>
  <si>
    <t xml:space="preserve">Proved exact op-stream simplification passes</t>
  </si>
  <si>
    <t xml:space="preserve">ecdsa.fail 66d8c54 (gopikannappan, 2026-06-19)</t>
  </si>
  <si>
    <t xml:space="preserve">Generic post-passes that prove CCX controls constant or support-redundant (classical constant propagation, affine/quadratic/truth-table support identities, consumed-only-by-phase cond pass, constant-Hmr zero_force, clear-before-reset y33) and drop or weaken them. | effect: 66d8c54 -1,254 executed T (679 dropped + 575 to CX); 427ac4c 70 proved cuts + 2 classical passes (part of -1,243 T) | Exact by construction. Includes swadhin 6f8aba7 exact affine 'bridges' (exhaustive window checks) as a hand-made instance.</t>
  </si>
  <si>
    <t xml:space="preserve">G39</t>
  </si>
  <si>
    <t xml:space="preserve">Cascade-root inverse-pair cancellation</t>
  </si>
  <si>
    <t xml:space="preserve">ecdsa.fail 92809b4 (odinfree, 2026-08-16)</t>
  </si>
  <si>
    <t xml:space="preserve">Accept blocked self-inverse CCX pairs whose single intervening write is one unconditional CCX (residual t ^= s*c*d), unblocking many further exact inverse pairs. | effect: -308 CCX static, 11 roots unblock 144 pairs (-0.02%) | Mechanism credited to Echo-Merlini note cd0a483 (not a submission id in the table; not read). Explicit lambda trade. No 'cascade'/'inverse_pair' in leader grep.</t>
  </si>
  <si>
    <t xml:space="preserve">G40</t>
  </si>
  <si>
    <t xml:space="preserve">AND holds: park erased AND values instead of recomputing</t>
  </si>
  <si>
    <t xml:space="preserve">ecdsa.fail fe0ced8 (Meganpark980320, 2026-10-22)</t>
  </si>
  <si>
    <t xml:space="preserve">Where a Toffoli recomputes a value an earlier Hmr erased, swap the value into an idle provably-zero wire at the erase (BitStore0 instead of Hmr) and swap it back at the recompute. | effect: 405 holds ~-405 T (fe0ced8 total -784.7 T with C/Z cuts); 362-363 holds in 92e793e/e52002d | Qualified by sampling (&gt;=1M shots, zero violations), so approximate. Generated by a sigscan-&gt;holds-&gt;countg pipeline. 7d81445 later proves 7 functional holds exactly (BDD).</t>
  </si>
  <si>
    <t xml:space="preserve">G41</t>
  </si>
  <si>
    <t xml:space="preserve">Exact AND cache in idle wires</t>
  </si>
  <si>
    <t xml:space="preserve">ecdsa.fail d7f6938 (MonitSharma, 2026-10-17)</t>
  </si>
  <si>
    <t xml:space="preserve">Reuse repeated Boolean AND computations by caching them on idle wires (67-stage frozen cache), certified equivalent for every input. | effect: -102.14 executed T per shot, peak unchanged | Universal certificate claimed (245,820 leases). Admission rule included a McNemar test against the parent.</t>
  </si>
  <si>
    <t xml:space="preserve">G42</t>
  </si>
  <si>
    <t xml:space="preserve">Measured rail tops / rail output erase</t>
  </si>
  <si>
    <t xml:space="preserve">ecdsa.fail 9da9a45 (jackylee0424, 2026-10-23)</t>
  </si>
  <si>
    <t xml:space="preserve">Erase rail top bits on the multiply's rails-only forward ticks by measurement where their value is consumed only as phase. | effect: 127 sites in spookyfrog 18 (credited in 46ae05c); more in be1f667/da097c3 | Origin note not read; described in 46ae05c and be1f667. Partly non-exact per be1f667 ('balanced portfolio').</t>
  </si>
  <si>
    <t xml:space="preserve">G43</t>
  </si>
  <si>
    <t xml:space="preserve">Dead-low carry/borrow elimination in constant adders</t>
  </si>
  <si>
    <t xml:space="preserve">ecdsa.fail e8f71df (moscowchill, 2026-08-21)</t>
  </si>
  <si>
    <t xml:space="preserve">When the low constant bits and/or operand relations force the first carries to zero, skip allocating those ripple ancillas and gates; also delete provably unread last-chunk carries. | effect: -6 T at 1279Q (small); b5fa90f unread last-chunk carry: part of -0.116% | Credited origin Kimi-assisted 8910bd1 in the R700 line (commit id, not read). Exact static dataflow proof.</t>
  </si>
  <si>
    <t xml:space="preserve">G44</t>
  </si>
  <si>
    <t xml:space="preserve">Per-band truncation-window shapes with equal-marginal pricing</t>
  </si>
  <si>
    <t xml:space="preserve">ecdsa.fail c8f6ff0 (nipzu, 2026-09-05)</t>
  </si>
  <si>
    <t xml:space="preserve">Replace flat truncation windows (fold, chunk compare, flag compare, walk width) with tables keyed on walk width/round, balancing d(lambda)/dToffoli across sites. | effect: chunk shape -994 T, flag shape -246 T; fold profile frees 3 Q (1263-&gt;1260); 9dcbdb8 GUARD 44-&gt;24 + SLOPE_2 33-&gt;34 ~+9.3M score for +0.46 lambda | Phase-channel errors cannot be seen by a classical model, so these were tuned on failing-shot counts.</t>
  </si>
  <si>
    <t xml:space="preserve">G45</t>
  </si>
  <si>
    <t xml:space="preserve">Phase-fix deferral and phase-only fixes</t>
  </si>
  <si>
    <t xml:space="preserve">ecdsa.fail 8186402 (mochimodev, 2026-09-25)</t>
  </si>
  <si>
    <t xml:space="preserve">Defer carry/boundary phase repairs to a matching inverse or walkback, replace AND-then-Z with CZ-plus-Pauli identities, and drop payload rotations from phase fixes. | effect: part of PR 419 -1.27% vs running best; 242c0de phase-only compares -124 T; leader G7 phase tricks -1,199 T (recipe comment) | PR 419 bundled 62 levers (square preload/diagonals, deferred boundary phases, retained-fold corrections). Only part of that note was read (sections listed).</t>
  </si>
  <si>
    <t xml:space="preserve">Technieken die de leader niet gebruikt (incl. recent academisch werk)</t>
  </si>
  <si>
    <t xml:space="preserve">U01</t>
  </si>
  <si>
    <t xml:space="preserve">Half-delta divsteps (Bernstein-Yang hddivsteps)</t>
  </si>
  <si>
    <t xml:space="preserve">inversion</t>
  </si>
  <si>
    <t xml:space="preserve">Bernstein-Yang 2019; sipa safegcd bounds</t>
  </si>
  <si>
    <t xml:space="preserve">exactness</t>
  </si>
  <si>
    <t xml:space="preserve">measured: 591 fixed steps, 3000/3000 inverses correct, rail envelope median+7 bits; transcript ~2 bits/step</t>
  </si>
  <si>
    <t xml:space="preserve">U02</t>
  </si>
  <si>
    <t xml:space="preserve">safegcd jump matrices (62-step batches from low bits)</t>
  </si>
  <si>
    <t xml:space="preserve">Bernstein-Yang 2019</t>
  </si>
  <si>
    <t xml:space="preserve">O(n^2/w)</t>
  </si>
  <si>
    <t xml:space="preserve">matrix application costs ~4 n-bit products per batch, ~3x the stepwise adds per bit (crossfield doc)</t>
  </si>
  <si>
    <t xml:space="preserve">U03</t>
  </si>
  <si>
    <t xml:space="preserve">k-ary GCD with small-multiplier table (Sorenson/Weber)</t>
  </si>
  <si>
    <t xml:space="preserve">Sorenson 1994; Weber 1995; Sedjelmaci-Lavault 2014</t>
  </si>
  <si>
    <t xml:space="preserve">a*u+b*v with quantum a,b ~ 2 adds per bit vs leader ~0.66; spurious factors need a second inverse</t>
  </si>
  <si>
    <t xml:space="preserve">U04</t>
  </si>
  <si>
    <t xml:space="preserve">Lehmer / half-GCD (Schonhage, Stehle-Zimmermann)</t>
  </si>
  <si>
    <t xml:space="preserve">Schonhage 1971; Stehle-Zimmermann 2004</t>
  </si>
  <si>
    <t xml:space="preserve">O(M(n) log n)</t>
  </si>
  <si>
    <t xml:space="preserve">O(n log n)</t>
  </si>
  <si>
    <t xml:space="preserve">asymptotic only; at n=256 matrix products dominate</t>
  </si>
  <si>
    <t xml:space="preserve">U05</t>
  </si>
  <si>
    <t xml:space="preserve">Extended Euclid with quotients + register sharing (Proos-Zalka)</t>
  </si>
  <si>
    <t xml:space="preserve">Proos-Zalka 2003; arXiv 2604.02311 (2026)</t>
  </si>
  <si>
    <t xml:space="preserve">O(n^2 log n)</t>
  </si>
  <si>
    <t xml:space="preserve">2604.02311: ~204 n^2 log2 n T per inversion (~107M at n=256)</t>
  </si>
  <si>
    <t xml:space="preserve">U06</t>
  </si>
  <si>
    <t xml:space="preserve">Kaliski Montgomery inverse with comparisons</t>
  </si>
  <si>
    <t xml:space="preserve">Kaliski 1995; Roetteler et al. 2017</t>
  </si>
  <si>
    <t xml:space="preserve">full-width compare + swap per step; Roetteler: 4 inversion calls per point add</t>
  </si>
  <si>
    <t xml:space="preserve">U07</t>
  </si>
  <si>
    <t xml:space="preserve">Fermat inversion a^(p-2) via addition chain</t>
  </si>
  <si>
    <t xml:space="preserve">classical; binary-field use: arXiv 2503.02984</t>
  </si>
  <si>
    <t xml:space="preserve">O(n^3)</t>
  </si>
  <si>
    <t xml:space="preserve">O(n k)</t>
  </si>
  <si>
    <t xml:space="preserve">measured with optimal pebbling: best 961B score (k=11), 1050x the leader</t>
  </si>
  <si>
    <t xml:space="preserve">U08</t>
  </si>
  <si>
    <t xml:space="preserve">Spooky pebbling (measurement-based pebble game)</t>
  </si>
  <si>
    <t xml:space="preserve">Gidney 2019; Kornerup-Sadun-Soloveichik, Quantum 2025</t>
  </si>
  <si>
    <t xml:space="preserve">O(L^(1+e))</t>
  </si>
  <si>
    <t xml:space="preserve">O(log L)</t>
  </si>
  <si>
    <t xml:space="preserve">trades qubits for recomputation and phase fix-ups; same flat T/Q trade as Bennett at this size (estimate)</t>
  </si>
  <si>
    <t xml:space="preserve">U09</t>
  </si>
  <si>
    <t xml:space="preserve">Knill optimal reversible pebbling</t>
  </si>
  <si>
    <t xml:space="preserve">Knill 1995</t>
  </si>
  <si>
    <t xml:space="preserve">O(k)</t>
  </si>
  <si>
    <t xml:space="preserve">measured for the Fermat chain; flat for the walk (7,100 T per qubit)</t>
  </si>
  <si>
    <t xml:space="preserve">U10</t>
  </si>
  <si>
    <t xml:space="preserve">SAT-based reversible pebbling (Meuli et al.)</t>
  </si>
  <si>
    <t xml:space="preserve">Meuli, Soeken, Roetteler, Bjorner, De Micheli 2019</t>
  </si>
  <si>
    <t xml:space="preserve">instance</t>
  </si>
  <si>
    <t xml:space="preserve">optimal schedules for small DAGs; the walk DAG is a line</t>
  </si>
  <si>
    <t xml:space="preserve">U11</t>
  </si>
  <si>
    <t xml:space="preserve">Coset representation of modular integers</t>
  </si>
  <si>
    <t xml:space="preserve">Zalka 2006; Gidney arXiv 1905.08488</t>
  </si>
  <si>
    <t xml:space="preserve">2^-pad per add</t>
  </si>
  <si>
    <t xml:space="preserve">O(n+pad)</t>
  </si>
  <si>
    <t xml:space="preserve">removes modular compares; leader already folds lazily (IPK), so the gain is small (estimate)</t>
  </si>
  <si>
    <t xml:space="preserve">U12</t>
  </si>
  <si>
    <t xml:space="preserve">Oblivious carry runways (piecewise adders)</t>
  </si>
  <si>
    <t xml:space="preserve">Gidney arXiv 1905.08488; US11710063</t>
  </si>
  <si>
    <t xml:space="preserve">depth</t>
  </si>
  <si>
    <t xml:space="preserve">2^-runway</t>
  </si>
  <si>
    <t xml:space="preserve">O(lg lg n)</t>
  </si>
  <si>
    <t xml:space="preserve">reduces depth, not Toffoli count; score ignores depth</t>
  </si>
  <si>
    <t xml:space="preserve">U13</t>
  </si>
  <si>
    <t xml:space="preserve">Residue number system arithmetic</t>
  </si>
  <si>
    <t xml:space="preserve">Chevignard-Fouque-Schrottenloher ePrint 2024/222, 2026/280</t>
  </si>
  <si>
    <t xml:space="preserve">parametrised</t>
  </si>
  <si>
    <t xml:space="preserve">O(n/2)</t>
  </si>
  <si>
    <t xml:space="preserve">built for modexp output bits; GCD inversion in RNS needs base extension, costly</t>
  </si>
  <si>
    <t xml:space="preserve">U14</t>
  </si>
  <si>
    <t xml:space="preserve">Approximate residue arithmetic (truncated outputs)</t>
  </si>
  <si>
    <t xml:space="preserve">Gidney arXiv 2505.15917; CFS 2024</t>
  </si>
  <si>
    <t xml:space="preserve">n.a.</t>
  </si>
  <si>
    <t xml:space="preserve">needs only top output bits; the point add must output exact coordinates</t>
  </si>
  <si>
    <t xml:space="preserve">U15</t>
  </si>
  <si>
    <t xml:space="preserve">Ekera-Hastad short discrete-log runs</t>
  </si>
  <si>
    <t xml:space="preserve">algorithm</t>
  </si>
  <si>
    <t xml:space="preserve">Ekera-Hastad 2017</t>
  </si>
  <si>
    <t xml:space="preserve">changes the outer algorithm, not one point add</t>
  </si>
  <si>
    <t xml:space="preserve">U16</t>
  </si>
  <si>
    <t xml:space="preserve">Regev multidimensional algorithm</t>
  </si>
  <si>
    <t xml:space="preserve">Regev 2023; Ekera-Gartner 2024</t>
  </si>
  <si>
    <t xml:space="preserve">outer-algorithm level; not applicable to the benchmark</t>
  </si>
  <si>
    <t xml:space="preserve">U17</t>
  </si>
  <si>
    <t xml:space="preserve">x-only / Montgomery-ladder differential addition</t>
  </si>
  <si>
    <t xml:space="preserve">curve model</t>
  </si>
  <si>
    <t xml:space="preserve">Montgomery 1987; ECC floor article 2026</t>
  </si>
  <si>
    <t xml:space="preserve">benchmark demands (x, y) affine in place</t>
  </si>
  <si>
    <t xml:space="preserve">U18</t>
  </si>
  <si>
    <t xml:space="preserve">Projective / Jacobian coordinates</t>
  </si>
  <si>
    <t xml:space="preserve">Chudnovsky-Chudnovsky 1986</t>
  </si>
  <si>
    <t xml:space="preserve">affine output still needs an inversion; extra registers</t>
  </si>
  <si>
    <t xml:space="preserve">U19</t>
  </si>
  <si>
    <t xml:space="preserve">Legendre-symbol hash (inversion-free ECDLP)</t>
  </si>
  <si>
    <t xml:space="preserve">Chevignard et al. 2026 (via postquantum.com)</t>
  </si>
  <si>
    <t xml:space="preserve">hash</t>
  </si>
  <si>
    <t xml:space="preserve">skips affine normalisation; the benchmark requires it</t>
  </si>
  <si>
    <t xml:space="preserve">U20</t>
  </si>
  <si>
    <t xml:space="preserve">GLV endomorphism</t>
  </si>
  <si>
    <t xml:space="preserve">Gallant-Lambert-Vanstone 2001</t>
  </si>
  <si>
    <t xml:space="preserve">halves scalar multiplication, not one addition</t>
  </si>
  <si>
    <t xml:space="preserve">U21</t>
  </si>
  <si>
    <t xml:space="preserve">Draper QFT adder</t>
  </si>
  <si>
    <t xml:space="preserve">Draper 2000</t>
  </si>
  <si>
    <t xml:space="preserve">O(n^2) rot</t>
  </si>
  <si>
    <t xml:space="preserve">needs rotations: not in the challenge gate set</t>
  </si>
  <si>
    <t xml:space="preserve">U22</t>
  </si>
  <si>
    <t xml:space="preserve">Phase-gradient arithmetic</t>
  </si>
  <si>
    <t xml:space="preserve">Gidney 2018 (Halving the cost of quantum addition)</t>
  </si>
  <si>
    <t xml:space="preserve">rotation precision</t>
  </si>
  <si>
    <t xml:space="preserve">phase-gradient state + rotations: gate set excludes</t>
  </si>
  <si>
    <t xml:space="preserve">U23</t>
  </si>
  <si>
    <t xml:space="preserve">Carry-lookahead adder (Draper-Kutin-Rains-Svore)</t>
  </si>
  <si>
    <t xml:space="preserve">DKRS 2004</t>
  </si>
  <si>
    <t xml:space="preserve">O(log n)</t>
  </si>
  <si>
    <t xml:space="preserve">~2-4x Toffolis of a ripple adder for log depth</t>
  </si>
  <si>
    <t xml:space="preserve">U24</t>
  </si>
  <si>
    <t xml:space="preserve">CDKM / Cuccaro ripple adder (1 ancilla)</t>
  </si>
  <si>
    <t xml:space="preserve">Cuccaro et al. 2004</t>
  </si>
  <si>
    <t xml:space="preserve">O(2n)</t>
  </si>
  <si>
    <t xml:space="preserve">2n T vs Gidney n T with n ancillas; used in arXiv 2606.02235 hybrid; at the leader's peak only a few adders are live</t>
  </si>
  <si>
    <t xml:space="preserve">U25</t>
  </si>
  <si>
    <t xml:space="preserve">Dirty-ancilla arithmetic (Haner 2n+2)</t>
  </si>
  <si>
    <t xml:space="preserve">width</t>
  </si>
  <si>
    <t xml:space="preserve">Haner-Roetteler-Svore 2016</t>
  </si>
  <si>
    <t xml:space="preserve">2-4x Toffolis for borrowed qubits</t>
  </si>
  <si>
    <t xml:space="preserve">U26</t>
  </si>
  <si>
    <t xml:space="preserve">Conditionally clean ancillae</t>
  </si>
  <si>
    <t xml:space="preserve">Khattar-Gidney, Quantum 2025 (arXiv 2407.17966)</t>
  </si>
  <si>
    <t xml:space="preserve">O(log* n)</t>
  </si>
  <si>
    <t xml:space="preserve">comparators ~3n T; helps multi-controls, little for window compares</t>
  </si>
  <si>
    <t xml:space="preserve">U27</t>
  </si>
  <si>
    <t xml:space="preserve">QROAM select-swap lookup</t>
  </si>
  <si>
    <t xml:space="preserve">lookup</t>
  </si>
  <si>
    <t xml:space="preserve">Low-Kliuchnikov-Schaeffer 2018; Berry et al. 2019</t>
  </si>
  <si>
    <t xml:space="preserve">O(L/k + k w)</t>
  </si>
  <si>
    <t xml:space="preserve">O(k w)</t>
  </si>
  <si>
    <t xml:space="preserve">O(L/k)</t>
  </si>
  <si>
    <t xml:space="preserve">only pays when indexed function costs &gt; table size; per-tick logic is ~5-30 T</t>
  </si>
  <si>
    <t xml:space="preserve">U28</t>
  </si>
  <si>
    <t xml:space="preserve">Measurement-based lookup cleanup</t>
  </si>
  <si>
    <t xml:space="preserve">Berry et al. 2019; Long et al. 2026</t>
  </si>
  <si>
    <t xml:space="preserve">O(sqrt L)</t>
  </si>
  <si>
    <t xml:space="preserve">only relevant once lookups exist</t>
  </si>
  <si>
    <t xml:space="preserve">U29</t>
  </si>
  <si>
    <t xml:space="preserve">Toom-Cook multiplication</t>
  </si>
  <si>
    <t xml:space="preserve">Toom 1963; Dutta et al. PRA 98, 012311 (2018)</t>
  </si>
  <si>
    <t xml:space="preserve">O(n^1.46)</t>
  </si>
  <si>
    <t xml:space="preserve">square phase is 4.6% of T; crossover far above 256 bits</t>
  </si>
  <si>
    <t xml:space="preserve">U30</t>
  </si>
  <si>
    <t xml:space="preserve">Barrett reduction</t>
  </si>
  <si>
    <t xml:space="preserve">Barrett 1986</t>
  </si>
  <si>
    <t xml:space="preserve">pseudo-Mersenne p makes Solinas folding cheaper</t>
  </si>
  <si>
    <t xml:space="preserve">U31</t>
  </si>
  <si>
    <t xml:space="preserve">Integer cofactor tracking (growing cofactors, register sharing)</t>
  </si>
  <si>
    <t xml:space="preserve">Proos-Zalka 2003; Bernstein-Yang 2019</t>
  </si>
  <si>
    <t xml:space="preserve">payload adds roughly halve but two modular multiplications and end-of-walk width cancel it (design.py variant D)</t>
  </si>
  <si>
    <t xml:space="preserve">U32</t>
  </si>
  <si>
    <t xml:space="preserve">Base-k transcript packing (Jump-2 base-5)</t>
  </si>
  <si>
    <t xml:space="preserve">encoding</t>
  </si>
  <si>
    <t xml:space="preserve">Long et al. arXiv 2609.28882</t>
  </si>
  <si>
    <t xml:space="preserve">leader transcript measured at its local floor (694 vs 690 bits)</t>
  </si>
  <si>
    <t xml:space="preserve">U33</t>
  </si>
  <si>
    <t xml:space="preserve">Batch inversion (Montgomery trick)</t>
  </si>
  <si>
    <t xml:space="preserve">Montgomery 1987</t>
  </si>
  <si>
    <t xml:space="preserve">one inversion for both 1/dx and 1/d' (checked 50/50) but in place still needs a second walk</t>
  </si>
  <si>
    <t xml:space="preserve">U34</t>
  </si>
  <si>
    <t xml:space="preserve">2-adic Hensel/Newton inversion</t>
  </si>
  <si>
    <t xml:space="preserve">Hensel; Jebelean exact division 1993</t>
  </si>
  <si>
    <t xml:space="preserve">cheap mod 2^k; a mod-p inverse needs p^-1 mod d (GCD-equivalent)</t>
  </si>
  <si>
    <t xml:space="preserve">U35</t>
  </si>
  <si>
    <t xml:space="preserve">Square-only multiplication (quarter squares)</t>
  </si>
  <si>
    <t xml:space="preserve">quarter-square tables; this session</t>
  </si>
  <si>
    <t xml:space="preserve">the point add has one product outside the walks and it is already a square</t>
  </si>
  <si>
    <t xml:space="preserve">U36</t>
  </si>
  <si>
    <t xml:space="preserve">ZK-proof validation of withheld circuits</t>
  </si>
  <si>
    <t xml:space="preserve">validation</t>
  </si>
  <si>
    <t xml:space="preserve">Babbush et al. 2026</t>
  </si>
  <si>
    <t xml:space="preserve">none</t>
  </si>
  <si>
    <t xml:space="preserve">evidence method, not a circuit technique</t>
  </si>
  <si>
    <t xml:space="preserve">Tekstboekmethoden van 2 qubits tot 256-bit bouwstenen</t>
  </si>
  <si>
    <t xml:space="preserve">B01</t>
  </si>
  <si>
    <t xml:space="preserve">[2 qubits] CNOT / CZ</t>
  </si>
  <si>
    <t xml:space="preserve">gate</t>
  </si>
  <si>
    <t xml:space="preserve">Barenco et al. 1995; Nielsen-Chuang ch.4</t>
  </si>
  <si>
    <t xml:space="preserve">basis</t>
  </si>
  <si>
    <t xml:space="preserve">0 T</t>
  </si>
  <si>
    <t xml:space="preserve">Clifford, free in the score | in nieuw ontwerp: T6,S</t>
  </si>
  <si>
    <t xml:space="preserve">B02</t>
  </si>
  <si>
    <t xml:space="preserve">[2 qubits] SWAP (3 CNOT) / wire relabel</t>
  </si>
  <si>
    <t xml:space="preserve">Nielsen-Chuang ch.4</t>
  </si>
  <si>
    <t xml:space="preserve">shifts by a constant are relabels | in nieuw ontwerp: T6,S</t>
  </si>
  <si>
    <t xml:space="preserve">B03</t>
  </si>
  <si>
    <t xml:space="preserve">[2 qubits] Z-basis measurement + reset</t>
  </si>
  <si>
    <t xml:space="preserve">measurement</t>
  </si>
  <si>
    <t xml:space="preserve">Nielsen-Chuang ch.2</t>
  </si>
  <si>
    <t xml:space="preserve">allowed only on clean or determined wires | in nieuw ontwerp: T6</t>
  </si>
  <si>
    <t xml:space="preserve">B04</t>
  </si>
  <si>
    <t xml:space="preserve">[2 qubits] X-basis measurement (HMR) + classically controlled CZ</t>
  </si>
  <si>
    <t xml:space="preserve">Gidney 2018; Jones 2013</t>
  </si>
  <si>
    <t xml:space="preserve">core of measurement-based uncompute | in nieuw ontwerp: T6</t>
  </si>
  <si>
    <t xml:space="preserve">B05</t>
  </si>
  <si>
    <t xml:space="preserve">[3 qubits] Toffoli (CCX) / CCZ</t>
  </si>
  <si>
    <t xml:space="preserve">Toffoli 1980</t>
  </si>
  <si>
    <t xml:space="preserve">1 T</t>
  </si>
  <si>
    <t xml:space="preserve">the scored gate | in nieuw ontwerp: T6,S</t>
  </si>
  <si>
    <t xml:space="preserve">B06</t>
  </si>
  <si>
    <t xml:space="preserve">[3 qubits] Fredkin (controlled SWAP)</t>
  </si>
  <si>
    <t xml:space="preserve">Fredkin-Toffoli 1982</t>
  </si>
  <si>
    <t xml:space="preserve">payload and rail swaps in divsteps | in nieuw ontwerp: T6,S</t>
  </si>
  <si>
    <t xml:space="preserve">B07</t>
  </si>
  <si>
    <t xml:space="preserve">[3 qubits] Peres gate (Toffoli + CNOT)</t>
  </si>
  <si>
    <t xml:space="preserve">Peres 1985</t>
  </si>
  <si>
    <t xml:space="preserve">same Toffoli count as Toffoli+CNOT | in nieuw ontwerp: -</t>
  </si>
  <si>
    <t xml:space="preserve">B08</t>
  </si>
  <si>
    <t xml:space="preserve">[3 qubits] Temporary logical-AND (measurement uncompute)</t>
  </si>
  <si>
    <t xml:space="preserve">Jones 2013; Gidney 2018</t>
  </si>
  <si>
    <t xml:space="preserve">1 T (uncompute 0)</t>
  </si>
  <si>
    <t xml:space="preserve">halves adder Toffolis | in nieuw ontwerp: T6</t>
  </si>
  <si>
    <t xml:space="preserve">B09</t>
  </si>
  <si>
    <t xml:space="preserve">[4 qubits] Half adder (Toffoli + CNOT)</t>
  </si>
  <si>
    <t xml:space="preserve">Vedral-Barenco-Ekert 1996</t>
  </si>
  <si>
    <t xml:space="preserve"> | in nieuw ontwerp: S</t>
  </si>
  <si>
    <t xml:space="preserve">B10</t>
  </si>
  <si>
    <t xml:space="preserve">[4 qubits] Full adder MAJ / UMA (Cuccaro)</t>
  </si>
  <si>
    <t xml:space="preserve">2 T</t>
  </si>
  <si>
    <t xml:space="preserve">building block of CDKM | in nieuw ontwerp: S</t>
  </si>
  <si>
    <t xml:space="preserve">B11</t>
  </si>
  <si>
    <t xml:space="preserve">[n-bit] VBE ripple adder</t>
  </si>
  <si>
    <t xml:space="preserve">~4n</t>
  </si>
  <si>
    <t xml:space="preserve">historical; 4n T | in nieuw ontwerp: -</t>
  </si>
  <si>
    <t xml:space="preserve">B12</t>
  </si>
  <si>
    <t xml:space="preserve">[n-bit] CDKM / Cuccaro ripple adder</t>
  </si>
  <si>
    <t xml:space="preserve">2n-1</t>
  </si>
  <si>
    <t xml:space="preserve">strict design's adder | in nieuw ontwerp: S</t>
  </si>
  <si>
    <t xml:space="preserve">B13</t>
  </si>
  <si>
    <t xml:space="preserve">[n-bit] Takahashi-Tani-Kunihiro ancilla-free adder</t>
  </si>
  <si>
    <t xml:space="preserve">Takahashi-Tani-Kunihiro 2010</t>
  </si>
  <si>
    <t xml:space="preserve">~2n</t>
  </si>
  <si>
    <t xml:space="preserve">O(0)</t>
  </si>
  <si>
    <t xml:space="preserve">no ancilla at all | in nieuw ontwerp: -</t>
  </si>
  <si>
    <t xml:space="preserve">B14</t>
  </si>
  <si>
    <t xml:space="preserve">[n-bit] Gidney ripple adder (temporary ANDs)</t>
  </si>
  <si>
    <t xml:space="preserve">n-1</t>
  </si>
  <si>
    <t xml:space="preserve"> | in nieuw ontwerp: -</t>
  </si>
  <si>
    <t xml:space="preserve">B15</t>
  </si>
  <si>
    <t xml:space="preserve">[n-bit] Chunked ripple adder (block carry save/restore)</t>
  </si>
  <si>
    <t xml:space="preserve">carry-select / block adders (textbook); quantum: Gidney 2019</t>
  </si>
  <si>
    <t xml:space="preserve">n-1+2n/k</t>
  </si>
  <si>
    <t xml:space="preserve">same idea as leader #18 | in nieuw ontwerp: T6</t>
  </si>
  <si>
    <t xml:space="preserve">B16</t>
  </si>
  <si>
    <t xml:space="preserve">[n-bit] Carry-lookahead adder</t>
  </si>
  <si>
    <t xml:space="preserve">Draper-Kutin-Rains-Svore 2004</t>
  </si>
  <si>
    <t xml:space="preserve">~5n</t>
  </si>
  <si>
    <t xml:space="preserve">depth is not scored | in nieuw ontwerp: -</t>
  </si>
  <si>
    <t xml:space="preserve">B17</t>
  </si>
  <si>
    <t xml:space="preserve">[n-bit] Sign-controlled add/subtract (XOR sign into operand)</t>
  </si>
  <si>
    <t xml:space="preserve">textbook two's complement; Litinski 2024</t>
  </si>
  <si>
    <t xml:space="preserve">as adder</t>
  </si>
  <si>
    <t xml:space="preserve"> | in nieuw ontwerp: T6,S</t>
  </si>
  <si>
    <t xml:space="preserve">B18</t>
  </si>
  <si>
    <t xml:space="preserve">[n-bit] Controlled constant adder (+-p)</t>
  </si>
  <si>
    <t xml:space="preserve">Beauregard 2003; Gidney 2019</t>
  </si>
  <si>
    <t xml:space="preserve">~n</t>
  </si>
  <si>
    <t xml:space="preserve">modular correction and halving | in nieuw ontwerp: T6,S</t>
  </si>
  <si>
    <t xml:space="preserve">B19</t>
  </si>
  <si>
    <t xml:space="preserve">[n-bit] Full-width comparator (subtract-sign)</t>
  </si>
  <si>
    <t xml:space="preserve">comparison</t>
  </si>
  <si>
    <t xml:space="preserve">strict design's comparator | in nieuw ontwerp: S</t>
  </si>
  <si>
    <t xml:space="preserve">B20</t>
  </si>
  <si>
    <t xml:space="preserve">[n-bit] Top-window comparator (w bits)</t>
  </si>
  <si>
    <t xml:space="preserve">Gidney 1905.08488 (approximate); this repo</t>
  </si>
  <si>
    <t xml:space="preserve">2^-(w)</t>
  </si>
  <si>
    <t xml:space="preserve">~w</t>
  </si>
  <si>
    <t xml:space="preserve">O(w)</t>
  </si>
  <si>
    <t xml:space="preserve">same idea as leader #16 | in nieuw ontwerp: T6</t>
  </si>
  <si>
    <t xml:space="preserve">B21</t>
  </si>
  <si>
    <t xml:space="preserve">[n-bit] Comparator with conditionally clean ancillae</t>
  </si>
  <si>
    <t xml:space="preserve">Khattar-Gidney, Quantum 2025</t>
  </si>
  <si>
    <t xml:space="preserve">~3n</t>
  </si>
  <si>
    <t xml:space="preserve">used for the window compares' ancillas | in nieuw ontwerp: T6</t>
  </si>
  <si>
    <t xml:space="preserve">B22</t>
  </si>
  <si>
    <t xml:space="preserve">[n-bit] Incrementer (dirty-ancilla)</t>
  </si>
  <si>
    <t xml:space="preserve">Gidney 2015 blog; Khattar-Gidney 2024</t>
  </si>
  <si>
    <t xml:space="preserve">~2-4n</t>
  </si>
  <si>
    <t xml:space="preserve">delta register update | in nieuw ontwerp: T6,S</t>
  </si>
  <si>
    <t xml:space="preserve">B23</t>
  </si>
  <si>
    <t xml:space="preserve">[n-bit] Multi-controlled NOT (Barenco ladder)</t>
  </si>
  <si>
    <t xml:space="preserve">Barenco et al. 1995</t>
  </si>
  <si>
    <t xml:space="preserve">2n-3</t>
  </si>
  <si>
    <t xml:space="preserve">B24</t>
  </si>
  <si>
    <t xml:space="preserve">[n-bit] Conditional negation (two's complement)</t>
  </si>
  <si>
    <t xml:space="preserve">textbook</t>
  </si>
  <si>
    <t xml:space="preserve">B25</t>
  </si>
  <si>
    <t xml:space="preserve">[n-bit] Barrel shifter (log Fredkin stages)</t>
  </si>
  <si>
    <t xml:space="preserve">shift</t>
  </si>
  <si>
    <t xml:space="preserve">textbook; quantum: Roetteler 2017</t>
  </si>
  <si>
    <t xml:space="preserve">n log k</t>
  </si>
  <si>
    <t xml:space="preserve">O(log k)</t>
  </si>
  <si>
    <t xml:space="preserve">divsteps needs none (one halving per step) | in nieuw ontwerp: -</t>
  </si>
  <si>
    <t xml:space="preserve">B26</t>
  </si>
  <si>
    <t xml:space="preserve">[n-bit] Modular adder (VBE 5 adders / Beauregard)</t>
  </si>
  <si>
    <t xml:space="preserve">VBE 1996; Beauregard 2003</t>
  </si>
  <si>
    <t xml:space="preserve">~3n-5n</t>
  </si>
  <si>
    <t xml:space="preserve">payload add/sub mod p | in nieuw ontwerp: T6,S</t>
  </si>
  <si>
    <t xml:space="preserve">B27</t>
  </si>
  <si>
    <t xml:space="preserve">[n-bit] Modular halving x/2 mod p (parity, +p, compare erase)</t>
  </si>
  <si>
    <t xml:space="preserve">Roetteler et al. 2017</t>
  </si>
  <si>
    <t xml:space="preserve">one per divsteps step | in nieuw ontwerp: T6,S</t>
  </si>
  <si>
    <t xml:space="preserve">B28</t>
  </si>
  <si>
    <t xml:space="preserve">[n-bit] Montgomery modular multiplication</t>
  </si>
  <si>
    <t xml:space="preserve">Montgomery 1985; Rines-Chuang 2018</t>
  </si>
  <si>
    <t xml:space="preserve">~2n^2</t>
  </si>
  <si>
    <t xml:space="preserve">strict design's square reduction | in nieuw ontwerp: S</t>
  </si>
  <si>
    <t xml:space="preserve">B29</t>
  </si>
  <si>
    <t xml:space="preserve">[n-bit] Schoolbook square (symmetric, n^2/2)</t>
  </si>
  <si>
    <t xml:space="preserve">n^2/2</t>
  </si>
  <si>
    <t xml:space="preserve">replaces the leader's Karatsuba | in nieuw ontwerp: T6,S</t>
  </si>
  <si>
    <t xml:space="preserve">B30</t>
  </si>
  <si>
    <t xml:space="preserve">[n-bit] Solinas pseudo-Mersenne reduction</t>
  </si>
  <si>
    <t xml:space="preserve">Solinas 1999</t>
  </si>
  <si>
    <t xml:space="preserve">~9*2n</t>
  </si>
  <si>
    <t xml:space="preserve">same idea as leader #23 | in nieuw ontwerp: T6</t>
  </si>
  <si>
    <t xml:space="preserve">B31</t>
  </si>
  <si>
    <t xml:space="preserve">[n-bit] Bennett compute-copy-uncompute</t>
  </si>
  <si>
    <t xml:space="preserve">Bennett 1973</t>
  </si>
  <si>
    <t xml:space="preserve">2x</t>
  </si>
  <si>
    <t xml:space="preserve">whole inversion: forward, payload, reverse | in nieuw ontwerp: T6,S</t>
  </si>
  <si>
    <t xml:space="preserve">B32</t>
  </si>
  <si>
    <t xml:space="preserve">[n-bit] Radix packing (5 trits / 8 bits; 17 trits / 27 bits)</t>
  </si>
  <si>
    <t xml:space="preserve">textbook radix conversion; Long et al. 2026 (base-5)</t>
  </si>
  <si>
    <t xml:space="preserve">~30 per group</t>
  </si>
  <si>
    <t xml:space="preserve">O(log)</t>
  </si>
  <si>
    <t xml:space="preserve">divsteps letters are ternary | in nieuw ontwerp: T6,S</t>
  </si>
  <si>
    <t xml:space="preserve">B33</t>
  </si>
  <si>
    <t xml:space="preserve">[n-bit] QROM unary iteration lookup</t>
  </si>
  <si>
    <t xml:space="preserve">Babbush et al. 2018</t>
  </si>
  <si>
    <t xml:space="preserve">L-1</t>
  </si>
  <si>
    <t xml:space="preserve">O(L)</t>
  </si>
  <si>
    <t xml:space="preserve">no table pays here (crossfield doc) | in nieuw ontwerp: -</t>
  </si>
  <si>
    <t xml:space="preserve">B34</t>
  </si>
  <si>
    <t xml:space="preserve">[n-bit] QFT (Fourier transform)</t>
  </si>
  <si>
    <t xml:space="preserve">transform</t>
  </si>
  <si>
    <t xml:space="preserve">Shor 1994; Coppersmith 1994</t>
  </si>
  <si>
    <t xml:space="preserve">rotations</t>
  </si>
  <si>
    <t xml:space="preserve">outer algorithm; gate set excludes | in nieuw ontwerp: -</t>
  </si>
  <si>
    <t xml:space="preserve">B35</t>
  </si>
  <si>
    <t xml:space="preserve">[n-bit] Half-delta divsteps step (swap, add/sub, halve)</t>
  </si>
  <si>
    <t xml:space="preserve">Bernstein-Yang 2019; sipa</t>
  </si>
  <si>
    <t xml:space="preserve">~2w + payload</t>
  </si>
  <si>
    <t xml:space="preserve">core of the novel design | in nieuw ontwerp: T6,S</t>
  </si>
  <si>
    <t xml:space="preserve">Gewichtenmodel: gewogen geschiktheid van elke kandidaat (Ongebruikt + Tekstboek). Pas de gele gewichten aan.</t>
  </si>
  <si>
    <t xml:space="preserve">Kenmerk</t>
  </si>
  <si>
    <t xml:space="preserve">Gewicht</t>
  </si>
  <si>
    <t xml:space="preserve">T-winst (T-effect, -10% = 1)</t>
  </si>
  <si>
    <t xml:space="preserve">Q-winst (Q-effect, -200 = 1)</t>
  </si>
  <si>
    <t xml:space="preserve">Exact</t>
  </si>
  <si>
    <t xml:space="preserve">Challenge-gateset</t>
  </si>
  <si>
    <t xml:space="preserve">Volwassenheid</t>
  </si>
  <si>
    <t xml:space="preserve">Lage complexiteit</t>
  </si>
  <si>
    <t xml:space="preserve">Nieuwheid (Gelijkheid)</t>
  </si>
  <si>
    <t xml:space="preserve">Toepasbaar op inversie</t>
  </si>
  <si>
    <t xml:space="preserve">Toepasbaar op payload</t>
  </si>
  <si>
    <t xml:space="preserve">Toepasbaar op breedte</t>
  </si>
  <si>
    <t xml:space="preserve">Combineerbaar met leader</t>
  </si>
  <si>
    <t xml:space="preserve">Bewijs / meting</t>
  </si>
  <si>
    <t xml:space="preserve">Som gewichten</t>
  </si>
  <si>
    <t xml:space="preserve">Bron-blad</t>
  </si>
  <si>
    <t xml:space="preserve">f T-winst</t>
  </si>
  <si>
    <t xml:space="preserve">f Q-winst</t>
  </si>
  <si>
    <t xml:space="preserve">f exact</t>
  </si>
  <si>
    <t xml:space="preserve">f gateset</t>
  </si>
  <si>
    <t xml:space="preserve">f volwassen</t>
  </si>
  <si>
    <t xml:space="preserve">f eenvoud</t>
  </si>
  <si>
    <t xml:space="preserve">f nieuwheid</t>
  </si>
  <si>
    <t xml:space="preserve">Inversie (0-1)</t>
  </si>
  <si>
    <t xml:space="preserve">Payload (0-1)</t>
  </si>
  <si>
    <t xml:space="preserve">Breedte (0-1)</t>
  </si>
  <si>
    <t xml:space="preserve">Combineerbaar (0-1)</t>
  </si>
  <si>
    <t xml:space="preserve">Bewijs (0/0.5/1)</t>
  </si>
  <si>
    <t xml:space="preserve">Gewogen score</t>
  </si>
  <si>
    <t xml:space="preserve">Rang</t>
  </si>
  <si>
    <t xml:space="preserve">Ongebruikt</t>
  </si>
  <si>
    <t xml:space="preserve">Tekstboek</t>
  </si>
  <si>
    <t xml:space="preserve">Extra eigenschappen (Inversie/Payload/Breedte/Combineerbaar/Bewijs) zijn oordelen per categorie; Bewijs = 1 als in deze repo gemeten, 0.5 voor tekstboek-primitieven met bekende formule.</t>
  </si>
  <si>
    <t xml:space="preserve">Gower-gelijkenis = 1 - gemiddelde |verschil| over 14 kenmerken (f:-kolommen van de catalogi). Nieuwheid = 1 - max gelijkenis met de gebruikte set.</t>
  </si>
  <si>
    <t xml:space="preserve">Nieuwheid</t>
  </si>
  <si>
    <t xml:space="preserve">Max gelijkenis</t>
  </si>
  <si>
    <t xml:space="preserve">Meest gelijkende gebruikte techniek</t>
  </si>
  <si>
    <t xml:space="preserve">Nieuw ontwerp 'DivPay': half-delta divsteps + mod-p payload, uit tekstboek-primitieven (kostenmodel)</t>
  </si>
  <si>
    <t xml:space="preserve">Invoer</t>
  </si>
  <si>
    <t xml:space="preserve">Waarde</t>
  </si>
  <si>
    <t xml:space="preserve">Bron / aanname</t>
  </si>
  <si>
    <t xml:space="preserve">n (bits)</t>
  </si>
  <si>
    <t xml:space="preserve">secp256k1</t>
  </si>
  <si>
    <t xml:space="preserve">Stappen T6</t>
  </si>
  <si>
    <t xml:space="preserve">steps_tail.py: max 535 op 1,000,000 invoeren (P(&gt;534)=4e-6)</t>
  </si>
  <si>
    <t xml:space="preserve">Stappen strikt</t>
  </si>
  <si>
    <t xml:space="preserve">bewezen grens (sipa safegcd hull)</t>
  </si>
  <si>
    <t xml:space="preserve">Som railbreedte-envelop (535)</t>
  </si>
  <si>
    <t xml:space="preserve">divsteps_sim.py envelop (1,500 invoeren, +4 bits marge)</t>
  </si>
  <si>
    <t xml:space="preserve">Som ceil(w/16) (535)</t>
  </si>
  <si>
    <t xml:space="preserve">idem, voor de opgeknipte optellers</t>
  </si>
  <si>
    <t xml:space="preserve">Som railbreedte-envelop (591)</t>
  </si>
  <si>
    <t xml:space="preserve">idem</t>
  </si>
  <si>
    <t xml:space="preserve">Railbreedte laatste stap</t>
  </si>
  <si>
    <t xml:space="preserve">Blokgrootte opgeknipte opteller k</t>
  </si>
  <si>
    <t xml:space="preserve">oordeel</t>
  </si>
  <si>
    <t xml:space="preserve">Vergelijkvenster w (bits)</t>
  </si>
  <si>
    <t xml:space="preserve">foutkans ~2^-40 per vergelijking</t>
  </si>
  <si>
    <t xml:space="preserve">Delta- en letterlogica per stap (T)</t>
  </si>
  <si>
    <t xml:space="preserve">30 delta + 12 trit-pakking (schatting)</t>
  </si>
  <si>
    <t xml:space="preserve">Trit-pakking bits per stap</t>
  </si>
  <si>
    <t xml:space="preserve">17 trits in 27 bits</t>
  </si>
  <si>
    <t xml:space="preserve">Vergelijker-ancilla (Khattar-Gidney)</t>
  </si>
  <si>
    <t xml:space="preserve">log* n</t>
  </si>
  <si>
    <t xml:space="preserve">Component (Toffoli)</t>
  </si>
  <si>
    <t xml:space="preserve">T6 (generiek, 2.95B)</t>
  </si>
  <si>
    <t xml:space="preserve">Strikt (geen enkele leader-techniek)</t>
  </si>
  <si>
    <t xml:space="preserve">Opteller n bits (T)</t>
  </si>
  <si>
    <t xml:space="preserve">Rails per pass</t>
  </si>
  <si>
    <t xml:space="preserve">Payload per stap: swap</t>
  </si>
  <si>
    <t xml:space="preserve">Payload per stap: add/sub</t>
  </si>
  <si>
    <t xml:space="preserve">Payload per stap: mod-p correctie</t>
  </si>
  <si>
    <t xml:space="preserve">Payload per stap: halveren</t>
  </si>
  <si>
    <t xml:space="preserve">Payload per walk</t>
  </si>
  <si>
    <t xml:space="preserve">Walk (2 railpassen + payload)</t>
  </si>
  <si>
    <t xml:space="preserve">Kwadraat (schoolboek n^2/2 + reductie)</t>
  </si>
  <si>
    <t xml:space="preserve">Coordinaten (4 klassieke aftrekkingen)</t>
  </si>
  <si>
    <t xml:space="preserve">Totaal Toffoli</t>
  </si>
  <si>
    <t xml:space="preserve">Transcript (qubits)</t>
  </si>
  <si>
    <t xml:space="preserve">Payload u,v (qubits)</t>
  </si>
  <si>
    <t xml:space="preserve">Rails einde + delta + misc (qubits)</t>
  </si>
  <si>
    <t xml:space="preserve">Opteller-ancilla (qubits)</t>
  </si>
  <si>
    <t xml:space="preserve">Vergelijker-ancilla (qubits)</t>
  </si>
  <si>
    <t xml:space="preserve">Piek-qubits</t>
  </si>
  <si>
    <t xml:space="preserve">Score (T x Q)</t>
  </si>
  <si>
    <t xml:space="preserve">T6 gebruikt generieke primitieven die de leader óók gebruikt (venster-vergelijkers #G17, opgeknipte optellers #G19, Solinas #G24, meting-uncompute #G14). Strikt vermijdt alle technieken met 'In leader' = ja/deels.</t>
  </si>
  <si>
    <t xml:space="preserve">Vergelijking: score = gemiddeld uitgevoerde Toffoli x piek-qubits</t>
  </si>
  <si>
    <t xml:space="preserve">Oplossing</t>
  </si>
  <si>
    <t xml:space="preserve">Toffoli</t>
  </si>
  <si>
    <t xml:space="preserve">Qubits</t>
  </si>
  <si>
    <t xml:space="preserve">Score</t>
  </si>
  <si>
    <t xml:space="preserve">x leader</t>
  </si>
  <si>
    <t xml:space="preserve">x Google low-gate</t>
  </si>
  <si>
    <t xml:space="preserve">Exact?</t>
  </si>
  <si>
    <t xml:space="preserve">Leader 9ef3139 (benaderd, gegrind)</t>
  </si>
  <si>
    <t xml:space="preserve">nee (lambda~16 + nonce)</t>
  </si>
  <si>
    <t xml:space="preserve">ecdsafail submissions --all</t>
  </si>
  <si>
    <t xml:space="preserve">Leader-afgeleid exact (schatting)</t>
  </si>
  <si>
    <t xml:space="preserve">ja (lambda~0.2)</t>
  </si>
  <si>
    <t xml:space="preserve">docs/exactness-experiments.md (+43k T, ~+9 Q)</t>
  </si>
  <si>
    <t xml:space="preserve">Google low-gate</t>
  </si>
  <si>
    <t xml:space="preserve">onbekend (privé)</t>
  </si>
  <si>
    <t xml:space="preserve">challenge README</t>
  </si>
  <si>
    <t xml:space="preserve">Google low-qubit</t>
  </si>
  <si>
    <t xml:space="preserve">Long et al. 2026</t>
  </si>
  <si>
    <t xml:space="preserve">nee (tegenvoorbeelden)</t>
  </si>
  <si>
    <t xml:space="preserve">arXiv 2609.28882</t>
  </si>
  <si>
    <t xml:space="preserve">Theta 893-qubit</t>
  </si>
  <si>
    <t xml:space="preserve">nee (111/360,960 fout)</t>
  </si>
  <si>
    <t xml:space="preserve">postquantum.com</t>
  </si>
  <si>
    <t xml:space="preserve">arXiv 2606.02235 space-opt</t>
  </si>
  <si>
    <t xml:space="preserve">nee (benaderd)</t>
  </si>
  <si>
    <t xml:space="preserve">arXiv 2606.02235 (2^21.19)</t>
  </si>
  <si>
    <t xml:space="preserve">Challenge-startcircuit</t>
  </si>
  <si>
    <t xml:space="preserve">Nieuw: DivPay T6 (generieke primitieven)</t>
  </si>
  <si>
    <t xml:space="preserve">ja (lambda~0.02)</t>
  </si>
  <si>
    <t xml:space="preserve">Ontwerp-blad (kostenmodel, niet gebouwd)</t>
  </si>
  <si>
    <t xml:space="preserve">Nieuw: DivPay strikt (geen leader-techniek)</t>
  </si>
  <si>
    <t xml:space="preserve">ja (bewezen 591 stappen)</t>
  </si>
  <si>
    <t xml:space="preserve">Verslaat T6 Google low-gate?</t>
  </si>
  <si>
    <t xml:space="preserve">Verslaat strikt Google low-gate?</t>
  </si>
  <si>
    <t xml:space="preserve">Stappen &gt;=1% t.o.v. de lopende beste score. Start 10,758,874,395 -&gt; 915,189,930</t>
  </si>
  <si>
    <t xml:space="preserve">id</t>
  </si>
  <si>
    <t xml:space="preserve">solver</t>
  </si>
  <si>
    <t xml:space="preserve">date</t>
  </si>
  <si>
    <t xml:space="preserve">prev_best</t>
  </si>
  <si>
    <t xml:space="preserve">score</t>
  </si>
  <si>
    <t xml:space="preserve">drop_pct_vs_running_best</t>
  </si>
  <si>
    <t xml:space="preserve">table_diff_pct_vs_original_baseline</t>
  </si>
  <si>
    <t xml:space="preserve">qubits</t>
  </si>
  <si>
    <t xml:space="preserve">toffoli</t>
  </si>
  <si>
    <t xml:space="preserve">note_status</t>
  </si>
  <si>
    <t xml:space="preserve">technique</t>
  </si>
  <si>
    <t xml:space="preserve">d8ed1df</t>
  </si>
  <si>
    <t xml:space="preserve">vineetguptadev</t>
  </si>
  <si>
    <t xml:space="preserve">2026-05-30</t>
  </si>
  <si>
    <t xml:space="preserve">no public note</t>
  </si>
  <si>
    <t xml:space="preserve">unknown (no note); 1.1% Toffoli cut at 2710 Q, inferred Kaliski-era lever</t>
  </si>
  <si>
    <t xml:space="preserve">aac62d7</t>
  </si>
  <si>
    <t xml:space="preserve">Gajesh2007</t>
  </si>
  <si>
    <t xml:space="preserve">2026-05-31</t>
  </si>
  <si>
    <t xml:space="preserve">unknown (no note); inferred Kaliski-era Toffoli lever (possibly late-iteration carry recovery listed in f94f726; inferred)</t>
  </si>
  <si>
    <t xml:space="preserve">d35d6e7</t>
  </si>
  <si>
    <t xml:space="preserve">read</t>
  </si>
  <si>
    <t xml:space="preserve">f94f726</t>
  </si>
  <si>
    <t xml:space="preserve">peak plateau break 2708-&gt;2310: schoolbook-for-Karatsuba, in-place v aliasing, affine low-scratch, 9n carry-borrow, Solinas low-scratch (+ late carry recovery)</t>
  </si>
  <si>
    <t xml:space="preserve">112d5a4</t>
  </si>
  <si>
    <t xml:space="preserve">2026-06-01</t>
  </si>
  <si>
    <t xml:space="preserve">(u,v_w) cswap boundary merge</t>
  </si>
  <si>
    <t xml:space="preserve">437e22a</t>
  </si>
  <si>
    <t xml:space="preserve">W-TRUNC empirical width truncation</t>
  </si>
  <si>
    <t xml:space="preserve">70699b7</t>
  </si>
  <si>
    <t xml:space="preserve">W-TRUNC margin 20 + UV STEP1 common-AND fanout (HMR)</t>
  </si>
  <si>
    <t xml:space="preserve">4a11f65</t>
  </si>
  <si>
    <t xml:space="preserve">W-TRUNC margin 10 (retune)</t>
  </si>
  <si>
    <t xml:space="preserve">03499c8</t>
  </si>
  <si>
    <t xml:space="preserve">W-TRUNC margin 0 (retune / island)</t>
  </si>
  <si>
    <t xml:space="preserve">037fd71</t>
  </si>
  <si>
    <t xml:space="preserve">carry-tail truncation of sparse-constant adder</t>
  </si>
  <si>
    <t xml:space="preserve">2ca410f</t>
  </si>
  <si>
    <t xml:space="preserve">realizable-width truncation of (u,v_w) cswaps</t>
  </si>
  <si>
    <t xml:space="preserve">375fdff</t>
  </si>
  <si>
    <t xml:space="preserve">mod_double via register-free direct const-add + carry-tail truncation</t>
  </si>
  <si>
    <t xml:space="preserve">0620443</t>
  </si>
  <si>
    <t xml:space="preserve">2026-06-02</t>
  </si>
  <si>
    <t xml:space="preserve">peak 2309-&gt;2025: affine square-recompute, dialog history-fold, C* carry-pool relocation</t>
  </si>
  <si>
    <t xml:space="preserve">0c1d4d9</t>
  </si>
  <si>
    <t xml:space="preserve">pldallairedemers</t>
  </si>
  <si>
    <t xml:space="preserve">dialog-GCD compressed-sidecar record/replay port (TensorFurnace), peak 2006-&gt;1698</t>
  </si>
  <si>
    <t xml:space="preserve">75927ba</t>
  </si>
  <si>
    <t xml:space="preserve">saucegodbased</t>
  </si>
  <si>
    <t xml:space="preserve">measurement-based uncompute of divstep comparator</t>
  </si>
  <si>
    <t xml:space="preserve">df59687</t>
  </si>
  <si>
    <t xml:space="preserve">owizdom</t>
  </si>
  <si>
    <t xml:space="preserve">HMR clear of materialized subtrahend + comparator fast-eval</t>
  </si>
  <si>
    <t xml:space="preserve">1f7aabe</t>
  </si>
  <si>
    <t xml:space="preserve">HMR uncompute of apply-phase subtract</t>
  </si>
  <si>
    <t xml:space="preserve">f1acd7f</t>
  </si>
  <si>
    <t xml:space="preserve">jtrose24</t>
  </si>
  <si>
    <t xml:space="preserve">comparator window 75-&gt;63 + reroll</t>
  </si>
  <si>
    <t xml:space="preserve">690bdb9</t>
  </si>
  <si>
    <t xml:space="preserve">fast (HMR) clean compares in apply overflow/underflow</t>
  </si>
  <si>
    <t xml:space="preserve">fd70a60</t>
  </si>
  <si>
    <t xml:space="preserve">Epistetechnician</t>
  </si>
  <si>
    <t xml:space="preserve">fused branch-bit comparator</t>
  </si>
  <si>
    <t xml:space="preserve">8ee9ad8</t>
  </si>
  <si>
    <t xml:space="preserve">fast clean compares re-stacked</t>
  </si>
  <si>
    <t xml:space="preserve">66ad478</t>
  </si>
  <si>
    <t xml:space="preserve">apply double/halve carry-tail truncation + per-step comparator schedule</t>
  </si>
  <si>
    <t xml:space="preserve">744b274</t>
  </si>
  <si>
    <t xml:space="preserve">host-gated register + windowed apply add/sub, peak 1698-&gt;1572</t>
  </si>
  <si>
    <t xml:space="preserve">3bd3aa5</t>
  </si>
  <si>
    <t xml:space="preserve">solimander</t>
  </si>
  <si>
    <t xml:space="preserve">chunked apply materialization with asymmetric cut</t>
  </si>
  <si>
    <t xml:space="preserve">f2cd713</t>
  </si>
  <si>
    <t xml:space="preserve">mpjunior92</t>
  </si>
  <si>
    <t xml:space="preserve">host GCD comparator carry lane + apply chunk cut, peak 1500-&gt;1466</t>
  </si>
  <si>
    <t xml:space="preserve">ca1cd1f</t>
  </si>
  <si>
    <t xml:space="preserve">johnbxx</t>
  </si>
  <si>
    <t xml:space="preserve">2026-06-05</t>
  </si>
  <si>
    <t xml:space="preserve">K=2 bounded-shift (jump) dialog-GCD</t>
  </si>
  <si>
    <t xml:space="preserve">37816e7</t>
  </si>
  <si>
    <t xml:space="preserve">newjordan</t>
  </si>
  <si>
    <t xml:space="preserve">width-margin retune 25-&gt;18</t>
  </si>
  <si>
    <t xml:space="preserve">730949a</t>
  </si>
  <si>
    <t xml:space="preserve">width margin/slope retune</t>
  </si>
  <si>
    <t xml:space="preserve">64f75ba</t>
  </si>
  <si>
    <t xml:space="preserve">lazy-Solinas carry window + chunk rebalance + width margin 7</t>
  </si>
  <si>
    <t xml:space="preserve">67be862</t>
  </si>
  <si>
    <t xml:space="preserve">teddyjfpender</t>
  </si>
  <si>
    <t xml:space="preserve">apply teardown: final low-q ripple + split boundary comparator, peak 1382-&gt;1320</t>
  </si>
  <si>
    <t xml:space="preserve">4b7d727</t>
  </si>
  <si>
    <t xml:space="preserve">BitWonka</t>
  </si>
  <si>
    <t xml:space="preserve">2026-06-08</t>
  </si>
  <si>
    <t xml:space="preserve">conditional replay (exploits average-executed Toffoli metric)</t>
  </si>
  <si>
    <t xml:space="preserve">52c6b6b</t>
  </si>
  <si>
    <t xml:space="preserve">more conditional-replay cleanups</t>
  </si>
  <si>
    <t xml:space="preserve">d8466d8</t>
  </si>
  <si>
    <t xml:space="preserve">2026-06-11</t>
  </si>
  <si>
    <t xml:space="preserve">truncated square row-window cleanup comparator</t>
  </si>
  <si>
    <t xml:space="preserve">717b405</t>
  </si>
  <si>
    <t xml:space="preserve">alexander-sei</t>
  </si>
  <si>
    <t xml:space="preserve">2026-06-19</t>
  </si>
  <si>
    <t xml:space="preserve">sequential Karatsuba half-square recombination (trailmix route)</t>
  </si>
  <si>
    <t xml:space="preserve">39e28ee</t>
  </si>
  <si>
    <t xml:space="preserve">mochimodev</t>
  </si>
  <si>
    <t xml:space="preserve">2026-07-07</t>
  </si>
  <si>
    <t xml:space="preserve">mochimodev structural executed-Toffoli reduction at 1152 Q (note gives no mechanism)</t>
  </si>
  <si>
    <t xml:space="preserve">3616dbf</t>
  </si>
  <si>
    <t xml:space="preserve">2026-08-21</t>
  </si>
  <si>
    <t xml:space="preserve">ping-pong fixed-schedule division (Q up 1150-&gt;1321, T down 26%)</t>
  </si>
  <si>
    <t xml:space="preserve">21a0ba3</t>
  </si>
  <si>
    <t xml:space="preserve">0xrlawrence</t>
  </si>
  <si>
    <t xml:space="preserve">terminal passenger loan + endpoint fold window 54-&gt;40 + chunk-adder footprint, peak 1317-&gt;1301</t>
  </si>
  <si>
    <t xml:space="preserve">8186402</t>
  </si>
  <si>
    <t xml:space="preserve">2026-09-25</t>
  </si>
  <si>
    <t xml:space="preserve">read (partial)</t>
  </si>
  <si>
    <t xml:space="preserve">PR 419: 62-lever package (square preload/recursion, deferred phases, replay correction), Q1259-&gt;1251; introduces lambda&lt;=18 contract</t>
  </si>
  <si>
    <t xml:space="preserve">53986ea</t>
  </si>
  <si>
    <t xml:space="preserve">2026-10-07</t>
  </si>
  <si>
    <t xml:space="preserve">Leapfrog multi-step 2-adic walk</t>
  </si>
  <si>
    <t xml:space="preserve">c2fb64c</t>
  </si>
  <si>
    <t xml:space="preserve">krishparadox</t>
  </si>
  <si>
    <t xml:space="preserve">2026-10-08</t>
  </si>
  <si>
    <t xml:space="preserve">size-test choice rule (138 ticks), tick-0 letter off tape, short last tick</t>
  </si>
  <si>
    <t xml:space="preserve">e9cacd1</t>
  </si>
  <si>
    <t xml:space="preserve">2026-10-09</t>
  </si>
  <si>
    <t xml:space="preserve">one fold per payload tick</t>
  </si>
</sst>
</file>

<file path=xl/styles.xml><?xml version="1.0" encoding="utf-8"?>
<styleSheet xmlns="http://schemas.openxmlformats.org/spreadsheetml/2006/main">
  <numFmts count="4">
    <numFmt numFmtId="164" formatCode="General"/>
    <numFmt numFmtId="165" formatCode="#,##0"/>
    <numFmt numFmtId="166" formatCode="0.00\x"/>
    <numFmt numFmtId="167" formatCode="0.000\x"/>
  </numFmts>
  <fonts count="11">
    <font>
      <sz val="11"/>
      <color theme="1"/>
      <name val="Calibri"/>
      <family val="2"/>
      <charset val="1"/>
    </font>
    <font>
      <sz val="10"/>
      <name val="Arial"/>
      <family val="0"/>
    </font>
    <font>
      <sz val="10"/>
      <name val="Arial"/>
      <family val="0"/>
    </font>
    <font>
      <sz val="10"/>
      <name val="Arial"/>
      <family val="0"/>
    </font>
    <font>
      <b val="true"/>
      <sz val="11"/>
      <name val="Arial"/>
      <family val="0"/>
      <charset val="1"/>
    </font>
    <font>
      <sz val="11"/>
      <name val="Arial"/>
      <family val="0"/>
      <charset val="1"/>
    </font>
    <font>
      <sz val="11"/>
      <color theme="1"/>
      <name val="Arial"/>
      <family val="0"/>
      <charset val="1"/>
    </font>
    <font>
      <b val="true"/>
      <sz val="11"/>
      <color rgb="FFFFFFFF"/>
      <name val="Arial"/>
      <family val="0"/>
      <charset val="1"/>
    </font>
    <font>
      <sz val="11"/>
      <color rgb="FF0000FF"/>
      <name val="Arial"/>
      <family val="0"/>
      <charset val="1"/>
    </font>
    <font>
      <sz val="11"/>
      <color rgb="FF008000"/>
      <name val="Arial"/>
      <family val="0"/>
      <charset val="1"/>
    </font>
    <font>
      <sz val="10"/>
      <name val="Arial"/>
      <family val="2"/>
    </font>
  </fonts>
  <fills count="4">
    <fill>
      <patternFill patternType="none"/>
    </fill>
    <fill>
      <patternFill patternType="gray125"/>
    </fill>
    <fill>
      <patternFill patternType="solid">
        <fgColor rgb="FF1F3864"/>
        <bgColor rgb="FF333333"/>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30"/>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1"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t="s">
        <v>8</v>
      </c>
    </row>
    <row r="11" customFormat="false" ht="15" hidden="false" customHeight="false" outlineLevel="0" collapsed="false">
      <c r="A11" s="2" t="s">
        <v>9</v>
      </c>
    </row>
    <row r="12" customFormat="false" ht="15" hidden="false" customHeight="false" outlineLevel="0" collapsed="false">
      <c r="A12" s="2" t="s">
        <v>10</v>
      </c>
    </row>
    <row r="13" customFormat="false" ht="15" hidden="false" customHeight="false" outlineLevel="0" collapsed="false">
      <c r="A13" s="2"/>
    </row>
    <row r="14" customFormat="false" ht="15" hidden="false" customHeight="false" outlineLevel="0" collapsed="false">
      <c r="A14" s="1" t="s">
        <v>11</v>
      </c>
    </row>
    <row r="15" customFormat="false" ht="15" hidden="false" customHeight="false" outlineLevel="0" collapsed="false">
      <c r="A15" s="2" t="s">
        <v>12</v>
      </c>
    </row>
    <row r="16" customFormat="false" ht="15" hidden="false" customHeight="false" outlineLevel="0" collapsed="false">
      <c r="A16" s="2"/>
    </row>
    <row r="17" customFormat="false" ht="15" hidden="false" customHeight="false" outlineLevel="0" collapsed="false">
      <c r="A17" s="1" t="s">
        <v>13</v>
      </c>
    </row>
    <row r="18" customFormat="false" ht="15" hidden="false" customHeight="false" outlineLevel="0" collapsed="false">
      <c r="A18" s="2" t="s">
        <v>14</v>
      </c>
    </row>
    <row r="19" customFormat="false" ht="15" hidden="false" customHeight="false" outlineLevel="0" collapsed="false">
      <c r="A19" s="2" t="s">
        <v>15</v>
      </c>
    </row>
    <row r="20" customFormat="false" ht="15" hidden="false" customHeight="false" outlineLevel="0" collapsed="false">
      <c r="A20" s="2" t="s">
        <v>16</v>
      </c>
    </row>
    <row r="21" customFormat="false" ht="15" hidden="false" customHeight="false" outlineLevel="0" collapsed="false">
      <c r="A21" s="2" t="s">
        <v>17</v>
      </c>
    </row>
    <row r="22" customFormat="false" ht="15" hidden="false" customHeight="false" outlineLevel="0" collapsed="false">
      <c r="A22" s="2"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2" min="2" style="0" width="42"/>
    <col collapsed="false" customWidth="true" hidden="false" outlineLevel="0" max="4" min="3" style="0" width="16"/>
    <col collapsed="false" customWidth="true" hidden="false" outlineLevel="0" max="5" min="5" style="0" width="7"/>
    <col collapsed="false" customWidth="true" hidden="false" outlineLevel="0" max="6" min="6" style="0" width="34"/>
    <col collapsed="false" customWidth="true" hidden="false" outlineLevel="0" max="31" min="7" style="0" width="12"/>
    <col collapsed="false" customWidth="true" hidden="false" outlineLevel="0" max="32" min="32" style="0" width="70"/>
    <col collapsed="false" customWidth="true" hidden="false" outlineLevel="0" max="47" min="33" style="0" width="12"/>
  </cols>
  <sheetData>
    <row r="1" customFormat="false" ht="15" hidden="false" customHeight="false" outlineLevel="0" collapsed="false">
      <c r="A1" s="1" t="s">
        <v>19</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row>
    <row r="2" customFormat="false" ht="15" hidden="false" customHeight="false" outlineLevel="0" collapsed="false">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row>
    <row r="3" customFormat="false" ht="52.2" hidden="false" customHeight="false" outlineLevel="0" collapsed="false">
      <c r="A3" s="4" t="s">
        <v>20</v>
      </c>
      <c r="B3" s="4" t="s">
        <v>21</v>
      </c>
      <c r="C3" s="4" t="s">
        <v>22</v>
      </c>
      <c r="D3" s="4" t="s">
        <v>23</v>
      </c>
      <c r="E3" s="4" t="s">
        <v>24</v>
      </c>
      <c r="F3" s="4" t="s">
        <v>25</v>
      </c>
      <c r="G3" s="4" t="s">
        <v>26</v>
      </c>
      <c r="H3" s="4" t="s">
        <v>27</v>
      </c>
      <c r="I3" s="4" t="s">
        <v>28</v>
      </c>
      <c r="J3" s="4" t="s">
        <v>29</v>
      </c>
      <c r="K3" s="4" t="s">
        <v>30</v>
      </c>
      <c r="L3" s="4" t="s">
        <v>31</v>
      </c>
      <c r="M3" s="4" t="s">
        <v>32</v>
      </c>
      <c r="N3" s="4" t="s">
        <v>33</v>
      </c>
      <c r="O3" s="4" t="s">
        <v>34</v>
      </c>
      <c r="P3" s="4" t="s">
        <v>35</v>
      </c>
      <c r="Q3" s="4" t="s">
        <v>36</v>
      </c>
      <c r="R3" s="4" t="s">
        <v>37</v>
      </c>
      <c r="S3" s="4" t="s">
        <v>38</v>
      </c>
      <c r="T3" s="4" t="s">
        <v>39</v>
      </c>
      <c r="U3" s="4" t="s">
        <v>40</v>
      </c>
      <c r="V3" s="4" t="s">
        <v>41</v>
      </c>
      <c r="W3" s="4" t="s">
        <v>42</v>
      </c>
      <c r="X3" s="4" t="s">
        <v>43</v>
      </c>
      <c r="Y3" s="4" t="s">
        <v>44</v>
      </c>
      <c r="Z3" s="4" t="s">
        <v>45</v>
      </c>
      <c r="AA3" s="4" t="s">
        <v>46</v>
      </c>
      <c r="AB3" s="4" t="s">
        <v>47</v>
      </c>
      <c r="AC3" s="4" t="s">
        <v>48</v>
      </c>
      <c r="AD3" s="4" t="s">
        <v>49</v>
      </c>
      <c r="AE3" s="4" t="s">
        <v>50</v>
      </c>
      <c r="AF3" s="4" t="s">
        <v>51</v>
      </c>
      <c r="AG3" s="4"/>
      <c r="AH3" s="4" t="s">
        <v>52</v>
      </c>
      <c r="AI3" s="4" t="s">
        <v>53</v>
      </c>
      <c r="AJ3" s="4" t="s">
        <v>54</v>
      </c>
      <c r="AK3" s="4" t="s">
        <v>55</v>
      </c>
      <c r="AL3" s="4" t="s">
        <v>56</v>
      </c>
      <c r="AM3" s="4" t="s">
        <v>57</v>
      </c>
      <c r="AN3" s="4" t="s">
        <v>58</v>
      </c>
      <c r="AO3" s="4" t="s">
        <v>59</v>
      </c>
      <c r="AP3" s="4" t="s">
        <v>60</v>
      </c>
      <c r="AQ3" s="4" t="s">
        <v>61</v>
      </c>
      <c r="AR3" s="4" t="s">
        <v>62</v>
      </c>
      <c r="AS3" s="4" t="s">
        <v>63</v>
      </c>
      <c r="AT3" s="4" t="s">
        <v>64</v>
      </c>
      <c r="AU3" s="4" t="s">
        <v>65</v>
      </c>
    </row>
    <row r="4" customFormat="false" ht="77.6" hidden="false" customHeight="false" outlineLevel="0" collapsed="false">
      <c r="A4" s="2" t="s">
        <v>66</v>
      </c>
      <c r="B4" s="5" t="s">
        <v>67</v>
      </c>
      <c r="C4" s="6" t="s">
        <v>68</v>
      </c>
      <c r="D4" s="6" t="s">
        <v>69</v>
      </c>
      <c r="E4" s="6" t="s">
        <v>70</v>
      </c>
      <c r="F4" s="5" t="s">
        <v>71</v>
      </c>
      <c r="G4" s="6" t="s">
        <v>72</v>
      </c>
      <c r="H4" s="6" t="s">
        <v>73</v>
      </c>
      <c r="I4" s="6" t="s">
        <v>74</v>
      </c>
      <c r="J4" s="6" t="s">
        <v>75</v>
      </c>
      <c r="K4" s="6" t="n">
        <v>3</v>
      </c>
      <c r="L4" s="6" t="s">
        <v>76</v>
      </c>
      <c r="M4" s="6" t="s">
        <v>73</v>
      </c>
      <c r="N4" s="6" t="s">
        <v>76</v>
      </c>
      <c r="O4" s="6" t="s">
        <v>77</v>
      </c>
      <c r="P4" s="6" t="s">
        <v>78</v>
      </c>
      <c r="Q4" s="6" t="s">
        <v>79</v>
      </c>
      <c r="R4" s="6" t="s">
        <v>80</v>
      </c>
      <c r="S4" s="6" t="s">
        <v>79</v>
      </c>
      <c r="T4" s="6" t="s">
        <v>73</v>
      </c>
      <c r="U4" s="6" t="s">
        <v>76</v>
      </c>
      <c r="V4" s="6" t="s">
        <v>73</v>
      </c>
      <c r="W4" s="6" t="s">
        <v>81</v>
      </c>
      <c r="X4" s="6" t="s">
        <v>76</v>
      </c>
      <c r="Y4" s="6" t="s">
        <v>82</v>
      </c>
      <c r="Z4" s="6" t="n">
        <v>4</v>
      </c>
      <c r="AA4" s="6" t="n">
        <v>4</v>
      </c>
      <c r="AB4" s="6" t="s">
        <v>74</v>
      </c>
      <c r="AC4" s="6" t="s">
        <v>74</v>
      </c>
      <c r="AD4" s="6" t="s">
        <v>76</v>
      </c>
      <c r="AE4" s="6" t="s">
        <v>73</v>
      </c>
      <c r="AF4" s="5" t="s">
        <v>83</v>
      </c>
      <c r="AG4" s="3"/>
      <c r="AH4" s="2" t="n">
        <f aca="false">IF(H4="ja",1,0)</f>
        <v>1</v>
      </c>
      <c r="AI4" s="2" t="n">
        <f aca="false">IF(J4="schoon",1,IF(J4="vuil",0.5,0))</f>
        <v>1</v>
      </c>
      <c r="AJ4" s="2" t="n">
        <f aca="false">K4/5</f>
        <v>0.6</v>
      </c>
      <c r="AK4" s="2" t="n">
        <f aca="false">IF(L4="ja",1,0)</f>
        <v>0</v>
      </c>
      <c r="AL4" s="2" t="n">
        <f aca="false">IF(M4="ja",1,0)</f>
        <v>1</v>
      </c>
      <c r="AM4" s="2" t="n">
        <f aca="false">IF(N4="ja",1,0)</f>
        <v>0</v>
      </c>
      <c r="AN4" s="2" t="n">
        <f aca="false">IF(O4="exact",1,0)</f>
        <v>1</v>
      </c>
      <c r="AO4" s="2" t="n">
        <f aca="false">IF(T4="ja",1,0)</f>
        <v>1</v>
      </c>
      <c r="AP4" s="2" t="n">
        <f aca="false">IF(U4="ja",1,0)</f>
        <v>0</v>
      </c>
      <c r="AQ4" s="2" t="n">
        <f aca="false">IF(V4="ja",1,0)</f>
        <v>1</v>
      </c>
      <c r="AR4" s="2" t="n">
        <f aca="false">IF(W4="Bennett",1,IF(W4="meting",0.5,0))</f>
        <v>1</v>
      </c>
      <c r="AS4" s="2" t="n">
        <f aca="false">IF(X4="ja",1,0)</f>
        <v>0</v>
      </c>
      <c r="AT4" s="2" t="n">
        <f aca="false">Z4/5</f>
        <v>0.8</v>
      </c>
      <c r="AU4" s="2" t="n">
        <f aca="false">AA4/5</f>
        <v>0.8</v>
      </c>
    </row>
    <row r="5" customFormat="false" ht="39.55" hidden="false" customHeight="false" outlineLevel="0" collapsed="false">
      <c r="A5" s="2" t="s">
        <v>84</v>
      </c>
      <c r="B5" s="5" t="s">
        <v>85</v>
      </c>
      <c r="C5" s="6" t="s">
        <v>86</v>
      </c>
      <c r="D5" s="6" t="s">
        <v>87</v>
      </c>
      <c r="E5" s="6" t="s">
        <v>70</v>
      </c>
      <c r="F5" s="5" t="s">
        <v>88</v>
      </c>
      <c r="G5" s="6" t="s">
        <v>89</v>
      </c>
      <c r="H5" s="6" t="s">
        <v>76</v>
      </c>
      <c r="I5" s="6" t="s">
        <v>74</v>
      </c>
      <c r="J5" s="6" t="s">
        <v>90</v>
      </c>
      <c r="K5" s="6" t="n">
        <v>2</v>
      </c>
      <c r="L5" s="6" t="s">
        <v>76</v>
      </c>
      <c r="M5" s="6" t="s">
        <v>76</v>
      </c>
      <c r="N5" s="6" t="s">
        <v>76</v>
      </c>
      <c r="O5" s="6" t="s">
        <v>77</v>
      </c>
      <c r="P5" s="6" t="s">
        <v>78</v>
      </c>
      <c r="Q5" s="6" t="s">
        <v>74</v>
      </c>
      <c r="R5" s="6" t="s">
        <v>74</v>
      </c>
      <c r="S5" s="6" t="s">
        <v>74</v>
      </c>
      <c r="T5" s="6" t="s">
        <v>73</v>
      </c>
      <c r="U5" s="6" t="s">
        <v>76</v>
      </c>
      <c r="V5" s="6" t="s">
        <v>76</v>
      </c>
      <c r="W5" s="6" t="s">
        <v>90</v>
      </c>
      <c r="X5" s="6" t="s">
        <v>76</v>
      </c>
      <c r="Y5" s="6" t="s">
        <v>82</v>
      </c>
      <c r="Z5" s="6" t="n">
        <v>3</v>
      </c>
      <c r="AA5" s="6" t="n">
        <v>3</v>
      </c>
      <c r="AB5" s="6" t="s">
        <v>74</v>
      </c>
      <c r="AC5" s="6" t="s">
        <v>74</v>
      </c>
      <c r="AD5" s="6" t="s">
        <v>76</v>
      </c>
      <c r="AE5" s="6" t="s">
        <v>73</v>
      </c>
      <c r="AF5" s="5" t="s">
        <v>91</v>
      </c>
      <c r="AG5" s="3"/>
      <c r="AH5" s="2" t="n">
        <f aca="false">IF(H5="ja",1,0)</f>
        <v>0</v>
      </c>
      <c r="AI5" s="2" t="n">
        <f aca="false">IF(J5="schoon",1,IF(J5="vuil",0.5,0))</f>
        <v>0</v>
      </c>
      <c r="AJ5" s="2" t="n">
        <f aca="false">K5/5</f>
        <v>0.4</v>
      </c>
      <c r="AK5" s="2" t="n">
        <f aca="false">IF(L5="ja",1,0)</f>
        <v>0</v>
      </c>
      <c r="AL5" s="2" t="n">
        <f aca="false">IF(M5="ja",1,0)</f>
        <v>0</v>
      </c>
      <c r="AM5" s="2" t="n">
        <f aca="false">IF(N5="ja",1,0)</f>
        <v>0</v>
      </c>
      <c r="AN5" s="2" t="n">
        <f aca="false">IF(O5="exact",1,0)</f>
        <v>1</v>
      </c>
      <c r="AO5" s="2" t="n">
        <f aca="false">IF(T5="ja",1,0)</f>
        <v>1</v>
      </c>
      <c r="AP5" s="2" t="n">
        <f aca="false">IF(U5="ja",1,0)</f>
        <v>0</v>
      </c>
      <c r="AQ5" s="2" t="n">
        <f aca="false">IF(V5="ja",1,0)</f>
        <v>0</v>
      </c>
      <c r="AR5" s="2" t="n">
        <f aca="false">IF(W5="Bennett",1,IF(W5="meting",0.5,0))</f>
        <v>0</v>
      </c>
      <c r="AS5" s="2" t="n">
        <f aca="false">IF(X5="ja",1,0)</f>
        <v>0</v>
      </c>
      <c r="AT5" s="2" t="n">
        <f aca="false">Z5/5</f>
        <v>0.6</v>
      </c>
      <c r="AU5" s="2" t="n">
        <f aca="false">AA5/5</f>
        <v>0.6</v>
      </c>
    </row>
    <row r="6" customFormat="false" ht="64.9" hidden="false" customHeight="false" outlineLevel="0" collapsed="false">
      <c r="A6" s="2" t="s">
        <v>92</v>
      </c>
      <c r="B6" s="5" t="s">
        <v>93</v>
      </c>
      <c r="C6" s="6" t="s">
        <v>86</v>
      </c>
      <c r="D6" s="6" t="s">
        <v>87</v>
      </c>
      <c r="E6" s="6" t="s">
        <v>70</v>
      </c>
      <c r="F6" s="5" t="s">
        <v>94</v>
      </c>
      <c r="G6" s="6" t="s">
        <v>89</v>
      </c>
      <c r="H6" s="6" t="s">
        <v>76</v>
      </c>
      <c r="I6" s="6" t="s">
        <v>74</v>
      </c>
      <c r="J6" s="6" t="s">
        <v>90</v>
      </c>
      <c r="K6" s="6" t="n">
        <v>2</v>
      </c>
      <c r="L6" s="6" t="s">
        <v>76</v>
      </c>
      <c r="M6" s="6" t="s">
        <v>76</v>
      </c>
      <c r="N6" s="6" t="s">
        <v>76</v>
      </c>
      <c r="O6" s="6" t="s">
        <v>77</v>
      </c>
      <c r="P6" s="6" t="s">
        <v>78</v>
      </c>
      <c r="Q6" s="6" t="s">
        <v>74</v>
      </c>
      <c r="R6" s="6" t="s">
        <v>74</v>
      </c>
      <c r="S6" s="6" t="s">
        <v>74</v>
      </c>
      <c r="T6" s="6" t="s">
        <v>73</v>
      </c>
      <c r="U6" s="6" t="s">
        <v>76</v>
      </c>
      <c r="V6" s="6" t="s">
        <v>76</v>
      </c>
      <c r="W6" s="6" t="s">
        <v>90</v>
      </c>
      <c r="X6" s="6" t="s">
        <v>76</v>
      </c>
      <c r="Y6" s="6" t="s">
        <v>82</v>
      </c>
      <c r="Z6" s="6" t="n">
        <v>3</v>
      </c>
      <c r="AA6" s="6" t="n">
        <v>3</v>
      </c>
      <c r="AB6" s="6" t="s">
        <v>74</v>
      </c>
      <c r="AC6" s="6" t="s">
        <v>74</v>
      </c>
      <c r="AD6" s="6" t="s">
        <v>76</v>
      </c>
      <c r="AE6" s="6" t="s">
        <v>73</v>
      </c>
      <c r="AF6" s="5" t="s">
        <v>95</v>
      </c>
      <c r="AG6" s="3"/>
      <c r="AH6" s="2" t="n">
        <f aca="false">IF(H6="ja",1,0)</f>
        <v>0</v>
      </c>
      <c r="AI6" s="2" t="n">
        <f aca="false">IF(J6="schoon",1,IF(J6="vuil",0.5,0))</f>
        <v>0</v>
      </c>
      <c r="AJ6" s="2" t="n">
        <f aca="false">K6/5</f>
        <v>0.4</v>
      </c>
      <c r="AK6" s="2" t="n">
        <f aca="false">IF(L6="ja",1,0)</f>
        <v>0</v>
      </c>
      <c r="AL6" s="2" t="n">
        <f aca="false">IF(M6="ja",1,0)</f>
        <v>0</v>
      </c>
      <c r="AM6" s="2" t="n">
        <f aca="false">IF(N6="ja",1,0)</f>
        <v>0</v>
      </c>
      <c r="AN6" s="2" t="n">
        <f aca="false">IF(O6="exact",1,0)</f>
        <v>1</v>
      </c>
      <c r="AO6" s="2" t="n">
        <f aca="false">IF(T6="ja",1,0)</f>
        <v>1</v>
      </c>
      <c r="AP6" s="2" t="n">
        <f aca="false">IF(U6="ja",1,0)</f>
        <v>0</v>
      </c>
      <c r="AQ6" s="2" t="n">
        <f aca="false">IF(V6="ja",1,0)</f>
        <v>0</v>
      </c>
      <c r="AR6" s="2" t="n">
        <f aca="false">IF(W6="Bennett",1,IF(W6="meting",0.5,0))</f>
        <v>0</v>
      </c>
      <c r="AS6" s="2" t="n">
        <f aca="false">IF(X6="ja",1,0)</f>
        <v>0</v>
      </c>
      <c r="AT6" s="2" t="n">
        <f aca="false">Z6/5</f>
        <v>0.6</v>
      </c>
      <c r="AU6" s="2" t="n">
        <f aca="false">AA6/5</f>
        <v>0.6</v>
      </c>
    </row>
    <row r="7" customFormat="false" ht="115.65" hidden="false" customHeight="false" outlineLevel="0" collapsed="false">
      <c r="A7" s="2" t="s">
        <v>96</v>
      </c>
      <c r="B7" s="5" t="s">
        <v>97</v>
      </c>
      <c r="C7" s="6" t="s">
        <v>98</v>
      </c>
      <c r="D7" s="6" t="s">
        <v>87</v>
      </c>
      <c r="E7" s="6" t="s">
        <v>70</v>
      </c>
      <c r="F7" s="5" t="s">
        <v>99</v>
      </c>
      <c r="G7" s="6" t="s">
        <v>100</v>
      </c>
      <c r="H7" s="6" t="s">
        <v>76</v>
      </c>
      <c r="I7" s="6" t="s">
        <v>74</v>
      </c>
      <c r="J7" s="6" t="s">
        <v>101</v>
      </c>
      <c r="K7" s="6" t="n">
        <v>2</v>
      </c>
      <c r="L7" s="6" t="s">
        <v>76</v>
      </c>
      <c r="M7" s="6" t="s">
        <v>73</v>
      </c>
      <c r="N7" s="6" t="s">
        <v>76</v>
      </c>
      <c r="O7" s="6" t="s">
        <v>102</v>
      </c>
      <c r="P7" s="6" t="s">
        <v>103</v>
      </c>
      <c r="Q7" s="6" t="s">
        <v>104</v>
      </c>
      <c r="R7" s="6" t="s">
        <v>74</v>
      </c>
      <c r="S7" s="6" t="s">
        <v>74</v>
      </c>
      <c r="T7" s="6" t="s">
        <v>73</v>
      </c>
      <c r="U7" s="6" t="s">
        <v>76</v>
      </c>
      <c r="V7" s="6" t="s">
        <v>76</v>
      </c>
      <c r="W7" s="6" t="s">
        <v>105</v>
      </c>
      <c r="X7" s="6" t="s">
        <v>76</v>
      </c>
      <c r="Y7" s="6" t="s">
        <v>106</v>
      </c>
      <c r="Z7" s="6" t="n">
        <v>3</v>
      </c>
      <c r="AA7" s="6" t="n">
        <v>3</v>
      </c>
      <c r="AB7" s="6" t="s">
        <v>74</v>
      </c>
      <c r="AC7" s="6" t="s">
        <v>74</v>
      </c>
      <c r="AD7" s="6" t="s">
        <v>107</v>
      </c>
      <c r="AE7" s="6" t="s">
        <v>73</v>
      </c>
      <c r="AF7" s="5" t="s">
        <v>108</v>
      </c>
      <c r="AG7" s="3"/>
      <c r="AH7" s="2" t="n">
        <f aca="false">IF(H7="ja",1,0)</f>
        <v>0</v>
      </c>
      <c r="AI7" s="2" t="n">
        <f aca="false">IF(J7="schoon",1,IF(J7="vuil",0.5,0))</f>
        <v>0.5</v>
      </c>
      <c r="AJ7" s="2" t="n">
        <f aca="false">K7/5</f>
        <v>0.4</v>
      </c>
      <c r="AK7" s="2" t="n">
        <f aca="false">IF(L7="ja",1,0)</f>
        <v>0</v>
      </c>
      <c r="AL7" s="2" t="n">
        <f aca="false">IF(M7="ja",1,0)</f>
        <v>1</v>
      </c>
      <c r="AM7" s="2" t="n">
        <f aca="false">IF(N7="ja",1,0)</f>
        <v>0</v>
      </c>
      <c r="AN7" s="2" t="n">
        <f aca="false">IF(O7="exact",1,0)</f>
        <v>0</v>
      </c>
      <c r="AO7" s="2" t="n">
        <f aca="false">IF(T7="ja",1,0)</f>
        <v>1</v>
      </c>
      <c r="AP7" s="2" t="n">
        <f aca="false">IF(U7="ja",1,0)</f>
        <v>0</v>
      </c>
      <c r="AQ7" s="2" t="n">
        <f aca="false">IF(V7="ja",1,0)</f>
        <v>0</v>
      </c>
      <c r="AR7" s="2" t="n">
        <f aca="false">IF(W7="Bennett",1,IF(W7="meting",0.5,0))</f>
        <v>0.5</v>
      </c>
      <c r="AS7" s="2" t="n">
        <f aca="false">IF(X7="ja",1,0)</f>
        <v>0</v>
      </c>
      <c r="AT7" s="2" t="n">
        <f aca="false">Z7/5</f>
        <v>0.6</v>
      </c>
      <c r="AU7" s="2" t="n">
        <f aca="false">AA7/5</f>
        <v>0.6</v>
      </c>
    </row>
    <row r="8" customFormat="false" ht="102.95" hidden="false" customHeight="false" outlineLevel="0" collapsed="false">
      <c r="A8" s="2" t="s">
        <v>109</v>
      </c>
      <c r="B8" s="5" t="s">
        <v>110</v>
      </c>
      <c r="C8" s="6" t="s">
        <v>98</v>
      </c>
      <c r="D8" s="6" t="s">
        <v>87</v>
      </c>
      <c r="E8" s="6" t="s">
        <v>70</v>
      </c>
      <c r="F8" s="5" t="s">
        <v>99</v>
      </c>
      <c r="G8" s="6" t="s">
        <v>100</v>
      </c>
      <c r="H8" s="6" t="s">
        <v>76</v>
      </c>
      <c r="I8" s="6" t="s">
        <v>74</v>
      </c>
      <c r="J8" s="6" t="s">
        <v>101</v>
      </c>
      <c r="K8" s="6" t="n">
        <v>2</v>
      </c>
      <c r="L8" s="6" t="s">
        <v>76</v>
      </c>
      <c r="M8" s="6" t="s">
        <v>76</v>
      </c>
      <c r="N8" s="6" t="s">
        <v>76</v>
      </c>
      <c r="O8" s="6" t="s">
        <v>77</v>
      </c>
      <c r="P8" s="6" t="s">
        <v>78</v>
      </c>
      <c r="Q8" s="6" t="s">
        <v>104</v>
      </c>
      <c r="R8" s="6" t="s">
        <v>74</v>
      </c>
      <c r="S8" s="6" t="s">
        <v>74</v>
      </c>
      <c r="T8" s="6" t="s">
        <v>73</v>
      </c>
      <c r="U8" s="6" t="s">
        <v>76</v>
      </c>
      <c r="V8" s="6" t="s">
        <v>76</v>
      </c>
      <c r="W8" s="6" t="s">
        <v>90</v>
      </c>
      <c r="X8" s="6" t="s">
        <v>76</v>
      </c>
      <c r="Y8" s="6" t="s">
        <v>106</v>
      </c>
      <c r="Z8" s="6" t="n">
        <v>3</v>
      </c>
      <c r="AA8" s="6" t="n">
        <v>3</v>
      </c>
      <c r="AB8" s="6" t="n">
        <v>0</v>
      </c>
      <c r="AC8" s="6" t="n">
        <v>0</v>
      </c>
      <c r="AD8" s="6" t="s">
        <v>73</v>
      </c>
      <c r="AE8" s="6" t="s">
        <v>73</v>
      </c>
      <c r="AF8" s="5" t="s">
        <v>111</v>
      </c>
      <c r="AG8" s="3"/>
      <c r="AH8" s="2" t="n">
        <f aca="false">IF(H8="ja",1,0)</f>
        <v>0</v>
      </c>
      <c r="AI8" s="2" t="n">
        <f aca="false">IF(J8="schoon",1,IF(J8="vuil",0.5,0))</f>
        <v>0.5</v>
      </c>
      <c r="AJ8" s="2" t="n">
        <f aca="false">K8/5</f>
        <v>0.4</v>
      </c>
      <c r="AK8" s="2" t="n">
        <f aca="false">IF(L8="ja",1,0)</f>
        <v>0</v>
      </c>
      <c r="AL8" s="2" t="n">
        <f aca="false">IF(M8="ja",1,0)</f>
        <v>0</v>
      </c>
      <c r="AM8" s="2" t="n">
        <f aca="false">IF(N8="ja",1,0)</f>
        <v>0</v>
      </c>
      <c r="AN8" s="2" t="n">
        <f aca="false">IF(O8="exact",1,0)</f>
        <v>1</v>
      </c>
      <c r="AO8" s="2" t="n">
        <f aca="false">IF(T8="ja",1,0)</f>
        <v>1</v>
      </c>
      <c r="AP8" s="2" t="n">
        <f aca="false">IF(U8="ja",1,0)</f>
        <v>0</v>
      </c>
      <c r="AQ8" s="2" t="n">
        <f aca="false">IF(V8="ja",1,0)</f>
        <v>0</v>
      </c>
      <c r="AR8" s="2" t="n">
        <f aca="false">IF(W8="Bennett",1,IF(W8="meting",0.5,0))</f>
        <v>0</v>
      </c>
      <c r="AS8" s="2" t="n">
        <f aca="false">IF(X8="ja",1,0)</f>
        <v>0</v>
      </c>
      <c r="AT8" s="2" t="n">
        <f aca="false">Z8/5</f>
        <v>0.6</v>
      </c>
      <c r="AU8" s="2" t="n">
        <f aca="false">AA8/5</f>
        <v>0.6</v>
      </c>
    </row>
    <row r="9" customFormat="false" ht="77.6" hidden="false" customHeight="false" outlineLevel="0" collapsed="false">
      <c r="A9" s="2" t="s">
        <v>112</v>
      </c>
      <c r="B9" s="5" t="s">
        <v>113</v>
      </c>
      <c r="C9" s="6" t="s">
        <v>114</v>
      </c>
      <c r="D9" s="6" t="s">
        <v>115</v>
      </c>
      <c r="E9" s="6" t="s">
        <v>70</v>
      </c>
      <c r="F9" s="5" t="s">
        <v>116</v>
      </c>
      <c r="G9" s="6" t="s">
        <v>89</v>
      </c>
      <c r="H9" s="6" t="s">
        <v>76</v>
      </c>
      <c r="I9" s="6" t="s">
        <v>74</v>
      </c>
      <c r="J9" s="6" t="s">
        <v>90</v>
      </c>
      <c r="K9" s="6" t="n">
        <v>1</v>
      </c>
      <c r="L9" s="6" t="s">
        <v>76</v>
      </c>
      <c r="M9" s="6" t="s">
        <v>76</v>
      </c>
      <c r="N9" s="6" t="s">
        <v>76</v>
      </c>
      <c r="O9" s="6" t="s">
        <v>102</v>
      </c>
      <c r="P9" s="6" t="s">
        <v>103</v>
      </c>
      <c r="Q9" s="6" t="s">
        <v>74</v>
      </c>
      <c r="R9" s="6" t="s">
        <v>74</v>
      </c>
      <c r="S9" s="6" t="s">
        <v>74</v>
      </c>
      <c r="T9" s="6" t="s">
        <v>73</v>
      </c>
      <c r="U9" s="6" t="s">
        <v>76</v>
      </c>
      <c r="V9" s="6" t="s">
        <v>73</v>
      </c>
      <c r="W9" s="6" t="s">
        <v>90</v>
      </c>
      <c r="X9" s="6" t="s">
        <v>76</v>
      </c>
      <c r="Y9" s="6" t="s">
        <v>82</v>
      </c>
      <c r="Z9" s="6" t="n">
        <v>2</v>
      </c>
      <c r="AA9" s="6" t="n">
        <v>3</v>
      </c>
      <c r="AB9" s="6" t="s">
        <v>74</v>
      </c>
      <c r="AC9" s="6" t="s">
        <v>74</v>
      </c>
      <c r="AD9" s="6" t="s">
        <v>107</v>
      </c>
      <c r="AE9" s="6" t="s">
        <v>73</v>
      </c>
      <c r="AF9" s="5" t="s">
        <v>117</v>
      </c>
      <c r="AG9" s="3"/>
      <c r="AH9" s="2" t="n">
        <f aca="false">IF(H9="ja",1,0)</f>
        <v>0</v>
      </c>
      <c r="AI9" s="2" t="n">
        <f aca="false">IF(J9="schoon",1,IF(J9="vuil",0.5,0))</f>
        <v>0</v>
      </c>
      <c r="AJ9" s="2" t="n">
        <f aca="false">K9/5</f>
        <v>0.2</v>
      </c>
      <c r="AK9" s="2" t="n">
        <f aca="false">IF(L9="ja",1,0)</f>
        <v>0</v>
      </c>
      <c r="AL9" s="2" t="n">
        <f aca="false">IF(M9="ja",1,0)</f>
        <v>0</v>
      </c>
      <c r="AM9" s="2" t="n">
        <f aca="false">IF(N9="ja",1,0)</f>
        <v>0</v>
      </c>
      <c r="AN9" s="2" t="n">
        <f aca="false">IF(O9="exact",1,0)</f>
        <v>0</v>
      </c>
      <c r="AO9" s="2" t="n">
        <f aca="false">IF(T9="ja",1,0)</f>
        <v>1</v>
      </c>
      <c r="AP9" s="2" t="n">
        <f aca="false">IF(U9="ja",1,0)</f>
        <v>0</v>
      </c>
      <c r="AQ9" s="2" t="n">
        <f aca="false">IF(V9="ja",1,0)</f>
        <v>1</v>
      </c>
      <c r="AR9" s="2" t="n">
        <f aca="false">IF(W9="Bennett",1,IF(W9="meting",0.5,0))</f>
        <v>0</v>
      </c>
      <c r="AS9" s="2" t="n">
        <f aca="false">IF(X9="ja",1,0)</f>
        <v>0</v>
      </c>
      <c r="AT9" s="2" t="n">
        <f aca="false">Z9/5</f>
        <v>0.4</v>
      </c>
      <c r="AU9" s="2" t="n">
        <f aca="false">AA9/5</f>
        <v>0.6</v>
      </c>
    </row>
    <row r="10" customFormat="false" ht="115.65" hidden="false" customHeight="false" outlineLevel="0" collapsed="false">
      <c r="A10" s="2" t="s">
        <v>118</v>
      </c>
      <c r="B10" s="5" t="s">
        <v>119</v>
      </c>
      <c r="C10" s="6" t="s">
        <v>114</v>
      </c>
      <c r="D10" s="6" t="s">
        <v>115</v>
      </c>
      <c r="E10" s="6" t="s">
        <v>70</v>
      </c>
      <c r="F10" s="5" t="s">
        <v>120</v>
      </c>
      <c r="G10" s="6" t="s">
        <v>89</v>
      </c>
      <c r="H10" s="6" t="s">
        <v>76</v>
      </c>
      <c r="I10" s="6" t="s">
        <v>74</v>
      </c>
      <c r="J10" s="6" t="s">
        <v>90</v>
      </c>
      <c r="K10" s="6" t="n">
        <v>1</v>
      </c>
      <c r="L10" s="6" t="s">
        <v>76</v>
      </c>
      <c r="M10" s="6" t="s">
        <v>76</v>
      </c>
      <c r="N10" s="6" t="s">
        <v>76</v>
      </c>
      <c r="O10" s="6" t="s">
        <v>102</v>
      </c>
      <c r="P10" s="6" t="s">
        <v>103</v>
      </c>
      <c r="Q10" s="6" t="s">
        <v>74</v>
      </c>
      <c r="R10" s="6" t="s">
        <v>74</v>
      </c>
      <c r="S10" s="6" t="s">
        <v>74</v>
      </c>
      <c r="T10" s="6" t="s">
        <v>73</v>
      </c>
      <c r="U10" s="6" t="s">
        <v>76</v>
      </c>
      <c r="V10" s="6" t="s">
        <v>73</v>
      </c>
      <c r="W10" s="6" t="s">
        <v>90</v>
      </c>
      <c r="X10" s="6" t="s">
        <v>76</v>
      </c>
      <c r="Y10" s="6" t="s">
        <v>82</v>
      </c>
      <c r="Z10" s="6" t="n">
        <v>2</v>
      </c>
      <c r="AA10" s="6" t="n">
        <v>3</v>
      </c>
      <c r="AB10" s="6" t="n">
        <v>0</v>
      </c>
      <c r="AC10" s="6" t="n">
        <v>0</v>
      </c>
      <c r="AD10" s="6" t="s">
        <v>73</v>
      </c>
      <c r="AE10" s="6" t="s">
        <v>73</v>
      </c>
      <c r="AF10" s="5" t="s">
        <v>121</v>
      </c>
      <c r="AG10" s="3"/>
      <c r="AH10" s="2" t="n">
        <f aca="false">IF(H10="ja",1,0)</f>
        <v>0</v>
      </c>
      <c r="AI10" s="2" t="n">
        <f aca="false">IF(J10="schoon",1,IF(J10="vuil",0.5,0))</f>
        <v>0</v>
      </c>
      <c r="AJ10" s="2" t="n">
        <f aca="false">K10/5</f>
        <v>0.2</v>
      </c>
      <c r="AK10" s="2" t="n">
        <f aca="false">IF(L10="ja",1,0)</f>
        <v>0</v>
      </c>
      <c r="AL10" s="2" t="n">
        <f aca="false">IF(M10="ja",1,0)</f>
        <v>0</v>
      </c>
      <c r="AM10" s="2" t="n">
        <f aca="false">IF(N10="ja",1,0)</f>
        <v>0</v>
      </c>
      <c r="AN10" s="2" t="n">
        <f aca="false">IF(O10="exact",1,0)</f>
        <v>0</v>
      </c>
      <c r="AO10" s="2" t="n">
        <f aca="false">IF(T10="ja",1,0)</f>
        <v>1</v>
      </c>
      <c r="AP10" s="2" t="n">
        <f aca="false">IF(U10="ja",1,0)</f>
        <v>0</v>
      </c>
      <c r="AQ10" s="2" t="n">
        <f aca="false">IF(V10="ja",1,0)</f>
        <v>1</v>
      </c>
      <c r="AR10" s="2" t="n">
        <f aca="false">IF(W10="Bennett",1,IF(W10="meting",0.5,0))</f>
        <v>0</v>
      </c>
      <c r="AS10" s="2" t="n">
        <f aca="false">IF(X10="ja",1,0)</f>
        <v>0</v>
      </c>
      <c r="AT10" s="2" t="n">
        <f aca="false">Z10/5</f>
        <v>0.4</v>
      </c>
      <c r="AU10" s="2" t="n">
        <f aca="false">AA10/5</f>
        <v>0.6</v>
      </c>
    </row>
    <row r="11" customFormat="false" ht="52.2" hidden="false" customHeight="false" outlineLevel="0" collapsed="false">
      <c r="A11" s="2" t="s">
        <v>122</v>
      </c>
      <c r="B11" s="5" t="s">
        <v>123</v>
      </c>
      <c r="C11" s="6" t="s">
        <v>114</v>
      </c>
      <c r="D11" s="6" t="s">
        <v>115</v>
      </c>
      <c r="E11" s="6" t="s">
        <v>70</v>
      </c>
      <c r="F11" s="5" t="s">
        <v>124</v>
      </c>
      <c r="G11" s="6" t="s">
        <v>89</v>
      </c>
      <c r="H11" s="6" t="s">
        <v>76</v>
      </c>
      <c r="I11" s="6" t="s">
        <v>74</v>
      </c>
      <c r="J11" s="6" t="s">
        <v>90</v>
      </c>
      <c r="K11" s="6" t="n">
        <v>1</v>
      </c>
      <c r="L11" s="6" t="s">
        <v>76</v>
      </c>
      <c r="M11" s="6" t="s">
        <v>76</v>
      </c>
      <c r="N11" s="6" t="s">
        <v>76</v>
      </c>
      <c r="O11" s="6" t="s">
        <v>102</v>
      </c>
      <c r="P11" s="6" t="s">
        <v>103</v>
      </c>
      <c r="Q11" s="6" t="s">
        <v>74</v>
      </c>
      <c r="R11" s="6" t="s">
        <v>74</v>
      </c>
      <c r="S11" s="6" t="s">
        <v>74</v>
      </c>
      <c r="T11" s="6" t="s">
        <v>73</v>
      </c>
      <c r="U11" s="6" t="s">
        <v>76</v>
      </c>
      <c r="V11" s="6" t="s">
        <v>73</v>
      </c>
      <c r="W11" s="6" t="s">
        <v>90</v>
      </c>
      <c r="X11" s="6" t="s">
        <v>76</v>
      </c>
      <c r="Y11" s="6" t="s">
        <v>82</v>
      </c>
      <c r="Z11" s="6" t="n">
        <v>2</v>
      </c>
      <c r="AA11" s="6" t="n">
        <v>3</v>
      </c>
      <c r="AB11" s="6" t="s">
        <v>74</v>
      </c>
      <c r="AC11" s="6" t="s">
        <v>74</v>
      </c>
      <c r="AD11" s="6" t="s">
        <v>76</v>
      </c>
      <c r="AE11" s="6" t="s">
        <v>73</v>
      </c>
      <c r="AF11" s="5" t="s">
        <v>125</v>
      </c>
      <c r="AG11" s="3"/>
      <c r="AH11" s="2" t="n">
        <f aca="false">IF(H11="ja",1,0)</f>
        <v>0</v>
      </c>
      <c r="AI11" s="2" t="n">
        <f aca="false">IF(J11="schoon",1,IF(J11="vuil",0.5,0))</f>
        <v>0</v>
      </c>
      <c r="AJ11" s="2" t="n">
        <f aca="false">K11/5</f>
        <v>0.2</v>
      </c>
      <c r="AK11" s="2" t="n">
        <f aca="false">IF(L11="ja",1,0)</f>
        <v>0</v>
      </c>
      <c r="AL11" s="2" t="n">
        <f aca="false">IF(M11="ja",1,0)</f>
        <v>0</v>
      </c>
      <c r="AM11" s="2" t="n">
        <f aca="false">IF(N11="ja",1,0)</f>
        <v>0</v>
      </c>
      <c r="AN11" s="2" t="n">
        <f aca="false">IF(O11="exact",1,0)</f>
        <v>0</v>
      </c>
      <c r="AO11" s="2" t="n">
        <f aca="false">IF(T11="ja",1,0)</f>
        <v>1</v>
      </c>
      <c r="AP11" s="2" t="n">
        <f aca="false">IF(U11="ja",1,0)</f>
        <v>0</v>
      </c>
      <c r="AQ11" s="2" t="n">
        <f aca="false">IF(V11="ja",1,0)</f>
        <v>1</v>
      </c>
      <c r="AR11" s="2" t="n">
        <f aca="false">IF(W11="Bennett",1,IF(W11="meting",0.5,0))</f>
        <v>0</v>
      </c>
      <c r="AS11" s="2" t="n">
        <f aca="false">IF(X11="ja",1,0)</f>
        <v>0</v>
      </c>
      <c r="AT11" s="2" t="n">
        <f aca="false">Z11/5</f>
        <v>0.4</v>
      </c>
      <c r="AU11" s="2" t="n">
        <f aca="false">AA11/5</f>
        <v>0.6</v>
      </c>
    </row>
    <row r="12" customFormat="false" ht="115.65" hidden="false" customHeight="false" outlineLevel="0" collapsed="false">
      <c r="A12" s="2" t="s">
        <v>126</v>
      </c>
      <c r="B12" s="5" t="s">
        <v>127</v>
      </c>
      <c r="C12" s="6" t="s">
        <v>114</v>
      </c>
      <c r="D12" s="6" t="s">
        <v>115</v>
      </c>
      <c r="E12" s="6" t="s">
        <v>70</v>
      </c>
      <c r="F12" s="5" t="s">
        <v>128</v>
      </c>
      <c r="G12" s="6" t="s">
        <v>89</v>
      </c>
      <c r="H12" s="6" t="s">
        <v>76</v>
      </c>
      <c r="I12" s="6" t="s">
        <v>74</v>
      </c>
      <c r="J12" s="6" t="s">
        <v>90</v>
      </c>
      <c r="K12" s="6" t="n">
        <v>1</v>
      </c>
      <c r="L12" s="6" t="s">
        <v>76</v>
      </c>
      <c r="M12" s="6" t="s">
        <v>73</v>
      </c>
      <c r="N12" s="6" t="s">
        <v>76</v>
      </c>
      <c r="O12" s="6" t="s">
        <v>102</v>
      </c>
      <c r="P12" s="6" t="s">
        <v>103</v>
      </c>
      <c r="Q12" s="6" t="s">
        <v>74</v>
      </c>
      <c r="R12" s="6" t="s">
        <v>74</v>
      </c>
      <c r="S12" s="6" t="s">
        <v>74</v>
      </c>
      <c r="T12" s="6" t="s">
        <v>73</v>
      </c>
      <c r="U12" s="6" t="s">
        <v>76</v>
      </c>
      <c r="V12" s="6" t="s">
        <v>73</v>
      </c>
      <c r="W12" s="6" t="s">
        <v>105</v>
      </c>
      <c r="X12" s="6" t="s">
        <v>76</v>
      </c>
      <c r="Y12" s="6" t="s">
        <v>82</v>
      </c>
      <c r="Z12" s="6" t="n">
        <v>2</v>
      </c>
      <c r="AA12" s="6" t="n">
        <v>3</v>
      </c>
      <c r="AB12" s="6" t="n">
        <v>0</v>
      </c>
      <c r="AC12" s="6" t="n">
        <v>0</v>
      </c>
      <c r="AD12" s="6" t="s">
        <v>73</v>
      </c>
      <c r="AE12" s="6" t="s">
        <v>73</v>
      </c>
      <c r="AF12" s="5" t="s">
        <v>129</v>
      </c>
      <c r="AG12" s="3"/>
      <c r="AH12" s="2" t="n">
        <f aca="false">IF(H12="ja",1,0)</f>
        <v>0</v>
      </c>
      <c r="AI12" s="2" t="n">
        <f aca="false">IF(J12="schoon",1,IF(J12="vuil",0.5,0))</f>
        <v>0</v>
      </c>
      <c r="AJ12" s="2" t="n">
        <f aca="false">K12/5</f>
        <v>0.2</v>
      </c>
      <c r="AK12" s="2" t="n">
        <f aca="false">IF(L12="ja",1,0)</f>
        <v>0</v>
      </c>
      <c r="AL12" s="2" t="n">
        <f aca="false">IF(M12="ja",1,0)</f>
        <v>1</v>
      </c>
      <c r="AM12" s="2" t="n">
        <f aca="false">IF(N12="ja",1,0)</f>
        <v>0</v>
      </c>
      <c r="AN12" s="2" t="n">
        <f aca="false">IF(O12="exact",1,0)</f>
        <v>0</v>
      </c>
      <c r="AO12" s="2" t="n">
        <f aca="false">IF(T12="ja",1,0)</f>
        <v>1</v>
      </c>
      <c r="AP12" s="2" t="n">
        <f aca="false">IF(U12="ja",1,0)</f>
        <v>0</v>
      </c>
      <c r="AQ12" s="2" t="n">
        <f aca="false">IF(V12="ja",1,0)</f>
        <v>1</v>
      </c>
      <c r="AR12" s="2" t="n">
        <f aca="false">IF(W12="Bennett",1,IF(W12="meting",0.5,0))</f>
        <v>0.5</v>
      </c>
      <c r="AS12" s="2" t="n">
        <f aca="false">IF(X12="ja",1,0)</f>
        <v>0</v>
      </c>
      <c r="AT12" s="2" t="n">
        <f aca="false">Z12/5</f>
        <v>0.4</v>
      </c>
      <c r="AU12" s="2" t="n">
        <f aca="false">AA12/5</f>
        <v>0.6</v>
      </c>
    </row>
    <row r="13" customFormat="false" ht="64.9" hidden="false" customHeight="false" outlineLevel="0" collapsed="false">
      <c r="A13" s="2" t="s">
        <v>130</v>
      </c>
      <c r="B13" s="5" t="s">
        <v>131</v>
      </c>
      <c r="C13" s="6" t="s">
        <v>132</v>
      </c>
      <c r="D13" s="6" t="s">
        <v>69</v>
      </c>
      <c r="E13" s="6" t="s">
        <v>70</v>
      </c>
      <c r="F13" s="5" t="s">
        <v>133</v>
      </c>
      <c r="G13" s="6" t="s">
        <v>89</v>
      </c>
      <c r="H13" s="6" t="s">
        <v>73</v>
      </c>
      <c r="I13" s="6" t="s">
        <v>74</v>
      </c>
      <c r="J13" s="6" t="s">
        <v>75</v>
      </c>
      <c r="K13" s="6" t="n">
        <v>2</v>
      </c>
      <c r="L13" s="6" t="s">
        <v>76</v>
      </c>
      <c r="M13" s="6" t="s">
        <v>76</v>
      </c>
      <c r="N13" s="6" t="s">
        <v>76</v>
      </c>
      <c r="O13" s="6" t="s">
        <v>102</v>
      </c>
      <c r="P13" s="6" t="s">
        <v>103</v>
      </c>
      <c r="Q13" s="6" t="s">
        <v>80</v>
      </c>
      <c r="R13" s="6" t="s">
        <v>80</v>
      </c>
      <c r="S13" s="6" t="s">
        <v>80</v>
      </c>
      <c r="T13" s="6" t="s">
        <v>73</v>
      </c>
      <c r="U13" s="6" t="s">
        <v>76</v>
      </c>
      <c r="V13" s="6" t="s">
        <v>76</v>
      </c>
      <c r="W13" s="6" t="s">
        <v>81</v>
      </c>
      <c r="X13" s="6" t="s">
        <v>73</v>
      </c>
      <c r="Y13" s="6" t="s">
        <v>82</v>
      </c>
      <c r="Z13" s="6" t="n">
        <v>3</v>
      </c>
      <c r="AA13" s="6" t="n">
        <v>4</v>
      </c>
      <c r="AB13" s="6" t="s">
        <v>74</v>
      </c>
      <c r="AC13" s="6" t="s">
        <v>74</v>
      </c>
      <c r="AD13" s="6" t="s">
        <v>76</v>
      </c>
      <c r="AE13" s="6" t="s">
        <v>73</v>
      </c>
      <c r="AF13" s="5" t="s">
        <v>134</v>
      </c>
      <c r="AG13" s="3"/>
      <c r="AH13" s="2" t="n">
        <f aca="false">IF(H13="ja",1,0)</f>
        <v>1</v>
      </c>
      <c r="AI13" s="2" t="n">
        <f aca="false">IF(J13="schoon",1,IF(J13="vuil",0.5,0))</f>
        <v>1</v>
      </c>
      <c r="AJ13" s="2" t="n">
        <f aca="false">K13/5</f>
        <v>0.4</v>
      </c>
      <c r="AK13" s="2" t="n">
        <f aca="false">IF(L13="ja",1,0)</f>
        <v>0</v>
      </c>
      <c r="AL13" s="2" t="n">
        <f aca="false">IF(M13="ja",1,0)</f>
        <v>0</v>
      </c>
      <c r="AM13" s="2" t="n">
        <f aca="false">IF(N13="ja",1,0)</f>
        <v>0</v>
      </c>
      <c r="AN13" s="2" t="n">
        <f aca="false">IF(O13="exact",1,0)</f>
        <v>0</v>
      </c>
      <c r="AO13" s="2" t="n">
        <f aca="false">IF(T13="ja",1,0)</f>
        <v>1</v>
      </c>
      <c r="AP13" s="2" t="n">
        <f aca="false">IF(U13="ja",1,0)</f>
        <v>0</v>
      </c>
      <c r="AQ13" s="2" t="n">
        <f aca="false">IF(V13="ja",1,0)</f>
        <v>0</v>
      </c>
      <c r="AR13" s="2" t="n">
        <f aca="false">IF(W13="Bennett",1,IF(W13="meting",0.5,0))</f>
        <v>1</v>
      </c>
      <c r="AS13" s="2" t="n">
        <f aca="false">IF(X13="ja",1,0)</f>
        <v>1</v>
      </c>
      <c r="AT13" s="2" t="n">
        <f aca="false">Z13/5</f>
        <v>0.6</v>
      </c>
      <c r="AU13" s="2" t="n">
        <f aca="false">AA13/5</f>
        <v>0.8</v>
      </c>
    </row>
    <row r="14" customFormat="false" ht="115.65" hidden="false" customHeight="false" outlineLevel="0" collapsed="false">
      <c r="A14" s="2" t="s">
        <v>135</v>
      </c>
      <c r="B14" s="5" t="s">
        <v>136</v>
      </c>
      <c r="C14" s="6" t="s">
        <v>137</v>
      </c>
      <c r="D14" s="6" t="s">
        <v>138</v>
      </c>
      <c r="E14" s="6" t="s">
        <v>70</v>
      </c>
      <c r="F14" s="5" t="s">
        <v>139</v>
      </c>
      <c r="G14" s="6" t="s">
        <v>90</v>
      </c>
      <c r="H14" s="6" t="s">
        <v>76</v>
      </c>
      <c r="I14" s="6" t="s">
        <v>74</v>
      </c>
      <c r="J14" s="6" t="s">
        <v>90</v>
      </c>
      <c r="K14" s="6" t="n">
        <v>1</v>
      </c>
      <c r="L14" s="6" t="s">
        <v>76</v>
      </c>
      <c r="M14" s="6" t="s">
        <v>76</v>
      </c>
      <c r="N14" s="6" t="s">
        <v>76</v>
      </c>
      <c r="O14" s="6" t="s">
        <v>102</v>
      </c>
      <c r="P14" s="6" t="s">
        <v>103</v>
      </c>
      <c r="Q14" s="6" t="s">
        <v>74</v>
      </c>
      <c r="R14" s="6" t="s">
        <v>74</v>
      </c>
      <c r="S14" s="6" t="s">
        <v>74</v>
      </c>
      <c r="T14" s="6" t="s">
        <v>73</v>
      </c>
      <c r="U14" s="6" t="s">
        <v>76</v>
      </c>
      <c r="V14" s="6" t="s">
        <v>76</v>
      </c>
      <c r="W14" s="6" t="s">
        <v>90</v>
      </c>
      <c r="X14" s="6" t="s">
        <v>76</v>
      </c>
      <c r="Y14" s="6" t="s">
        <v>82</v>
      </c>
      <c r="Z14" s="6" t="n">
        <v>2</v>
      </c>
      <c r="AA14" s="6" t="n">
        <v>3</v>
      </c>
      <c r="AB14" s="6" t="n">
        <v>0</v>
      </c>
      <c r="AC14" s="6" t="n">
        <v>0</v>
      </c>
      <c r="AD14" s="6" t="s">
        <v>73</v>
      </c>
      <c r="AE14" s="6" t="s">
        <v>73</v>
      </c>
      <c r="AF14" s="5" t="s">
        <v>140</v>
      </c>
      <c r="AG14" s="3"/>
      <c r="AH14" s="2" t="n">
        <f aca="false">IF(H14="ja",1,0)</f>
        <v>0</v>
      </c>
      <c r="AI14" s="2" t="n">
        <f aca="false">IF(J14="schoon",1,IF(J14="vuil",0.5,0))</f>
        <v>0</v>
      </c>
      <c r="AJ14" s="2" t="n">
        <f aca="false">K14/5</f>
        <v>0.2</v>
      </c>
      <c r="AK14" s="2" t="n">
        <f aca="false">IF(L14="ja",1,0)</f>
        <v>0</v>
      </c>
      <c r="AL14" s="2" t="n">
        <f aca="false">IF(M14="ja",1,0)</f>
        <v>0</v>
      </c>
      <c r="AM14" s="2" t="n">
        <f aca="false">IF(N14="ja",1,0)</f>
        <v>0</v>
      </c>
      <c r="AN14" s="2" t="n">
        <f aca="false">IF(O14="exact",1,0)</f>
        <v>0</v>
      </c>
      <c r="AO14" s="2" t="n">
        <f aca="false">IF(T14="ja",1,0)</f>
        <v>1</v>
      </c>
      <c r="AP14" s="2" t="n">
        <f aca="false">IF(U14="ja",1,0)</f>
        <v>0</v>
      </c>
      <c r="AQ14" s="2" t="n">
        <f aca="false">IF(V14="ja",1,0)</f>
        <v>0</v>
      </c>
      <c r="AR14" s="2" t="n">
        <f aca="false">IF(W14="Bennett",1,IF(W14="meting",0.5,0))</f>
        <v>0</v>
      </c>
      <c r="AS14" s="2" t="n">
        <f aca="false">IF(X14="ja",1,0)</f>
        <v>0</v>
      </c>
      <c r="AT14" s="2" t="n">
        <f aca="false">Z14/5</f>
        <v>0.4</v>
      </c>
      <c r="AU14" s="2" t="n">
        <f aca="false">AA14/5</f>
        <v>0.6</v>
      </c>
    </row>
    <row r="15" customFormat="false" ht="90.25" hidden="false" customHeight="false" outlineLevel="0" collapsed="false">
      <c r="A15" s="2" t="s">
        <v>141</v>
      </c>
      <c r="B15" s="5" t="s">
        <v>142</v>
      </c>
      <c r="C15" s="6" t="s">
        <v>137</v>
      </c>
      <c r="D15" s="6" t="s">
        <v>138</v>
      </c>
      <c r="E15" s="6" t="s">
        <v>70</v>
      </c>
      <c r="F15" s="5" t="s">
        <v>143</v>
      </c>
      <c r="G15" s="6" t="s">
        <v>90</v>
      </c>
      <c r="H15" s="6" t="s">
        <v>76</v>
      </c>
      <c r="I15" s="6" t="s">
        <v>74</v>
      </c>
      <c r="J15" s="6" t="s">
        <v>90</v>
      </c>
      <c r="K15" s="6" t="n">
        <v>1</v>
      </c>
      <c r="L15" s="6" t="s">
        <v>76</v>
      </c>
      <c r="M15" s="6" t="s">
        <v>76</v>
      </c>
      <c r="N15" s="6" t="s">
        <v>76</v>
      </c>
      <c r="O15" s="6" t="s">
        <v>77</v>
      </c>
      <c r="P15" s="6" t="s">
        <v>78</v>
      </c>
      <c r="Q15" s="6" t="s">
        <v>74</v>
      </c>
      <c r="R15" s="6" t="s">
        <v>74</v>
      </c>
      <c r="S15" s="6" t="s">
        <v>74</v>
      </c>
      <c r="T15" s="6" t="s">
        <v>73</v>
      </c>
      <c r="U15" s="6" t="s">
        <v>76</v>
      </c>
      <c r="V15" s="6" t="s">
        <v>76</v>
      </c>
      <c r="W15" s="6" t="s">
        <v>90</v>
      </c>
      <c r="X15" s="6" t="s">
        <v>76</v>
      </c>
      <c r="Y15" s="6" t="s">
        <v>82</v>
      </c>
      <c r="Z15" s="6" t="n">
        <v>2</v>
      </c>
      <c r="AA15" s="6" t="n">
        <v>3</v>
      </c>
      <c r="AB15" s="6" t="s">
        <v>74</v>
      </c>
      <c r="AC15" s="6" t="s">
        <v>74</v>
      </c>
      <c r="AD15" s="6" t="s">
        <v>76</v>
      </c>
      <c r="AE15" s="6" t="s">
        <v>73</v>
      </c>
      <c r="AF15" s="5" t="s">
        <v>144</v>
      </c>
      <c r="AG15" s="3"/>
      <c r="AH15" s="2" t="n">
        <f aca="false">IF(H15="ja",1,0)</f>
        <v>0</v>
      </c>
      <c r="AI15" s="2" t="n">
        <f aca="false">IF(J15="schoon",1,IF(J15="vuil",0.5,0))</f>
        <v>0</v>
      </c>
      <c r="AJ15" s="2" t="n">
        <f aca="false">K15/5</f>
        <v>0.2</v>
      </c>
      <c r="AK15" s="2" t="n">
        <f aca="false">IF(L15="ja",1,0)</f>
        <v>0</v>
      </c>
      <c r="AL15" s="2" t="n">
        <f aca="false">IF(M15="ja",1,0)</f>
        <v>0</v>
      </c>
      <c r="AM15" s="2" t="n">
        <f aca="false">IF(N15="ja",1,0)</f>
        <v>0</v>
      </c>
      <c r="AN15" s="2" t="n">
        <f aca="false">IF(O15="exact",1,0)</f>
        <v>1</v>
      </c>
      <c r="AO15" s="2" t="n">
        <f aca="false">IF(T15="ja",1,0)</f>
        <v>1</v>
      </c>
      <c r="AP15" s="2" t="n">
        <f aca="false">IF(U15="ja",1,0)</f>
        <v>0</v>
      </c>
      <c r="AQ15" s="2" t="n">
        <f aca="false">IF(V15="ja",1,0)</f>
        <v>0</v>
      </c>
      <c r="AR15" s="2" t="n">
        <f aca="false">IF(W15="Bennett",1,IF(W15="meting",0.5,0))</f>
        <v>0</v>
      </c>
      <c r="AS15" s="2" t="n">
        <f aca="false">IF(X15="ja",1,0)</f>
        <v>0</v>
      </c>
      <c r="AT15" s="2" t="n">
        <f aca="false">Z15/5</f>
        <v>0.4</v>
      </c>
      <c r="AU15" s="2" t="n">
        <f aca="false">AA15/5</f>
        <v>0.6</v>
      </c>
    </row>
    <row r="16" customFormat="false" ht="115.65" hidden="false" customHeight="false" outlineLevel="0" collapsed="false">
      <c r="A16" s="2" t="s">
        <v>145</v>
      </c>
      <c r="B16" s="5" t="s">
        <v>146</v>
      </c>
      <c r="C16" s="6" t="s">
        <v>137</v>
      </c>
      <c r="D16" s="6" t="s">
        <v>138</v>
      </c>
      <c r="E16" s="6" t="s">
        <v>70</v>
      </c>
      <c r="F16" s="5" t="s">
        <v>147</v>
      </c>
      <c r="G16" s="6" t="s">
        <v>90</v>
      </c>
      <c r="H16" s="6" t="s">
        <v>76</v>
      </c>
      <c r="I16" s="6" t="s">
        <v>74</v>
      </c>
      <c r="J16" s="6" t="s">
        <v>90</v>
      </c>
      <c r="K16" s="6" t="n">
        <v>1</v>
      </c>
      <c r="L16" s="6" t="s">
        <v>76</v>
      </c>
      <c r="M16" s="6" t="s">
        <v>76</v>
      </c>
      <c r="N16" s="6" t="s">
        <v>76</v>
      </c>
      <c r="O16" s="6" t="s">
        <v>77</v>
      </c>
      <c r="P16" s="6" t="s">
        <v>78</v>
      </c>
      <c r="Q16" s="6" t="s">
        <v>74</v>
      </c>
      <c r="R16" s="6" t="s">
        <v>74</v>
      </c>
      <c r="S16" s="6" t="s">
        <v>74</v>
      </c>
      <c r="T16" s="6" t="s">
        <v>73</v>
      </c>
      <c r="U16" s="6" t="s">
        <v>76</v>
      </c>
      <c r="V16" s="6" t="s">
        <v>76</v>
      </c>
      <c r="W16" s="6" t="s">
        <v>90</v>
      </c>
      <c r="X16" s="6" t="s">
        <v>76</v>
      </c>
      <c r="Y16" s="6" t="s">
        <v>82</v>
      </c>
      <c r="Z16" s="6" t="n">
        <v>2</v>
      </c>
      <c r="AA16" s="6" t="n">
        <v>3</v>
      </c>
      <c r="AB16" s="6" t="s">
        <v>74</v>
      </c>
      <c r="AC16" s="6" t="s">
        <v>74</v>
      </c>
      <c r="AD16" s="6" t="s">
        <v>107</v>
      </c>
      <c r="AE16" s="6" t="s">
        <v>73</v>
      </c>
      <c r="AF16" s="5" t="s">
        <v>148</v>
      </c>
      <c r="AG16" s="3"/>
      <c r="AH16" s="2" t="n">
        <f aca="false">IF(H16="ja",1,0)</f>
        <v>0</v>
      </c>
      <c r="AI16" s="2" t="n">
        <f aca="false">IF(J16="schoon",1,IF(J16="vuil",0.5,0))</f>
        <v>0</v>
      </c>
      <c r="AJ16" s="2" t="n">
        <f aca="false">K16/5</f>
        <v>0.2</v>
      </c>
      <c r="AK16" s="2" t="n">
        <f aca="false">IF(L16="ja",1,0)</f>
        <v>0</v>
      </c>
      <c r="AL16" s="2" t="n">
        <f aca="false">IF(M16="ja",1,0)</f>
        <v>0</v>
      </c>
      <c r="AM16" s="2" t="n">
        <f aca="false">IF(N16="ja",1,0)</f>
        <v>0</v>
      </c>
      <c r="AN16" s="2" t="n">
        <f aca="false">IF(O16="exact",1,0)</f>
        <v>1</v>
      </c>
      <c r="AO16" s="2" t="n">
        <f aca="false">IF(T16="ja",1,0)</f>
        <v>1</v>
      </c>
      <c r="AP16" s="2" t="n">
        <f aca="false">IF(U16="ja",1,0)</f>
        <v>0</v>
      </c>
      <c r="AQ16" s="2" t="n">
        <f aca="false">IF(V16="ja",1,0)</f>
        <v>0</v>
      </c>
      <c r="AR16" s="2" t="n">
        <f aca="false">IF(W16="Bennett",1,IF(W16="meting",0.5,0))</f>
        <v>0</v>
      </c>
      <c r="AS16" s="2" t="n">
        <f aca="false">IF(X16="ja",1,0)</f>
        <v>0</v>
      </c>
      <c r="AT16" s="2" t="n">
        <f aca="false">Z16/5</f>
        <v>0.4</v>
      </c>
      <c r="AU16" s="2" t="n">
        <f aca="false">AA16/5</f>
        <v>0.6</v>
      </c>
    </row>
    <row r="17" customFormat="false" ht="90.25" hidden="false" customHeight="false" outlineLevel="0" collapsed="false">
      <c r="A17" s="2" t="s">
        <v>149</v>
      </c>
      <c r="B17" s="5" t="s">
        <v>150</v>
      </c>
      <c r="C17" s="6" t="s">
        <v>151</v>
      </c>
      <c r="D17" s="6" t="s">
        <v>152</v>
      </c>
      <c r="E17" s="6" t="s">
        <v>70</v>
      </c>
      <c r="F17" s="5" t="s">
        <v>116</v>
      </c>
      <c r="G17" s="6" t="s">
        <v>89</v>
      </c>
      <c r="H17" s="6" t="s">
        <v>76</v>
      </c>
      <c r="I17" s="6" t="s">
        <v>74</v>
      </c>
      <c r="J17" s="6" t="s">
        <v>90</v>
      </c>
      <c r="K17" s="6" t="n">
        <v>1</v>
      </c>
      <c r="L17" s="6" t="s">
        <v>76</v>
      </c>
      <c r="M17" s="6" t="s">
        <v>73</v>
      </c>
      <c r="N17" s="6" t="s">
        <v>73</v>
      </c>
      <c r="O17" s="6" t="s">
        <v>77</v>
      </c>
      <c r="P17" s="6" t="s">
        <v>78</v>
      </c>
      <c r="Q17" s="6" t="s">
        <v>80</v>
      </c>
      <c r="R17" s="6" t="s">
        <v>104</v>
      </c>
      <c r="S17" s="6" t="s">
        <v>80</v>
      </c>
      <c r="T17" s="6" t="s">
        <v>73</v>
      </c>
      <c r="U17" s="6" t="s">
        <v>76</v>
      </c>
      <c r="V17" s="6" t="s">
        <v>76</v>
      </c>
      <c r="W17" s="6" t="s">
        <v>105</v>
      </c>
      <c r="X17" s="6" t="s">
        <v>76</v>
      </c>
      <c r="Y17" s="6" t="s">
        <v>153</v>
      </c>
      <c r="Z17" s="6" t="n">
        <v>3</v>
      </c>
      <c r="AA17" s="6" t="n">
        <v>4</v>
      </c>
      <c r="AB17" s="6" t="n">
        <v>0</v>
      </c>
      <c r="AC17" s="6" t="n">
        <v>0</v>
      </c>
      <c r="AD17" s="6" t="s">
        <v>73</v>
      </c>
      <c r="AE17" s="6" t="s">
        <v>73</v>
      </c>
      <c r="AF17" s="5" t="s">
        <v>154</v>
      </c>
      <c r="AG17" s="3"/>
      <c r="AH17" s="2" t="n">
        <f aca="false">IF(H17="ja",1,0)</f>
        <v>0</v>
      </c>
      <c r="AI17" s="2" t="n">
        <f aca="false">IF(J17="schoon",1,IF(J17="vuil",0.5,0))</f>
        <v>0</v>
      </c>
      <c r="AJ17" s="2" t="n">
        <f aca="false">K17/5</f>
        <v>0.2</v>
      </c>
      <c r="AK17" s="2" t="n">
        <f aca="false">IF(L17="ja",1,0)</f>
        <v>0</v>
      </c>
      <c r="AL17" s="2" t="n">
        <f aca="false">IF(M17="ja",1,0)</f>
        <v>1</v>
      </c>
      <c r="AM17" s="2" t="n">
        <f aca="false">IF(N17="ja",1,0)</f>
        <v>1</v>
      </c>
      <c r="AN17" s="2" t="n">
        <f aca="false">IF(O17="exact",1,0)</f>
        <v>1</v>
      </c>
      <c r="AO17" s="2" t="n">
        <f aca="false">IF(T17="ja",1,0)</f>
        <v>1</v>
      </c>
      <c r="AP17" s="2" t="n">
        <f aca="false">IF(U17="ja",1,0)</f>
        <v>0</v>
      </c>
      <c r="AQ17" s="2" t="n">
        <f aca="false">IF(V17="ja",1,0)</f>
        <v>0</v>
      </c>
      <c r="AR17" s="2" t="n">
        <f aca="false">IF(W17="Bennett",1,IF(W17="meting",0.5,0))</f>
        <v>0.5</v>
      </c>
      <c r="AS17" s="2" t="n">
        <f aca="false">IF(X17="ja",1,0)</f>
        <v>0</v>
      </c>
      <c r="AT17" s="2" t="n">
        <f aca="false">Z17/5</f>
        <v>0.6</v>
      </c>
      <c r="AU17" s="2" t="n">
        <f aca="false">AA17/5</f>
        <v>0.8</v>
      </c>
    </row>
    <row r="18" customFormat="false" ht="90.25" hidden="false" customHeight="false" outlineLevel="0" collapsed="false">
      <c r="A18" s="2" t="s">
        <v>155</v>
      </c>
      <c r="B18" s="5" t="s">
        <v>156</v>
      </c>
      <c r="C18" s="6" t="s">
        <v>68</v>
      </c>
      <c r="D18" s="6" t="s">
        <v>69</v>
      </c>
      <c r="E18" s="6" t="s">
        <v>70</v>
      </c>
      <c r="F18" s="5" t="s">
        <v>157</v>
      </c>
      <c r="G18" s="6" t="s">
        <v>72</v>
      </c>
      <c r="H18" s="6" t="s">
        <v>73</v>
      </c>
      <c r="I18" s="6" t="s">
        <v>74</v>
      </c>
      <c r="J18" s="6" t="s">
        <v>75</v>
      </c>
      <c r="K18" s="6" t="n">
        <v>3</v>
      </c>
      <c r="L18" s="6" t="s">
        <v>76</v>
      </c>
      <c r="M18" s="6" t="s">
        <v>73</v>
      </c>
      <c r="N18" s="6" t="s">
        <v>76</v>
      </c>
      <c r="O18" s="6" t="s">
        <v>77</v>
      </c>
      <c r="P18" s="6" t="s">
        <v>78</v>
      </c>
      <c r="Q18" s="6" t="s">
        <v>79</v>
      </c>
      <c r="R18" s="6" t="s">
        <v>80</v>
      </c>
      <c r="S18" s="6" t="s">
        <v>79</v>
      </c>
      <c r="T18" s="6" t="s">
        <v>73</v>
      </c>
      <c r="U18" s="6" t="s">
        <v>76</v>
      </c>
      <c r="V18" s="6" t="s">
        <v>73</v>
      </c>
      <c r="W18" s="6" t="s">
        <v>81</v>
      </c>
      <c r="X18" s="6" t="s">
        <v>76</v>
      </c>
      <c r="Y18" s="6" t="s">
        <v>82</v>
      </c>
      <c r="Z18" s="6" t="n">
        <v>4</v>
      </c>
      <c r="AA18" s="6" t="n">
        <v>4</v>
      </c>
      <c r="AB18" s="6" t="s">
        <v>74</v>
      </c>
      <c r="AC18" s="6" t="s">
        <v>74</v>
      </c>
      <c r="AD18" s="6" t="s">
        <v>107</v>
      </c>
      <c r="AE18" s="6" t="s">
        <v>73</v>
      </c>
      <c r="AF18" s="5" t="s">
        <v>158</v>
      </c>
      <c r="AG18" s="3"/>
      <c r="AH18" s="2" t="n">
        <f aca="false">IF(H18="ja",1,0)</f>
        <v>1</v>
      </c>
      <c r="AI18" s="2" t="n">
        <f aca="false">IF(J18="schoon",1,IF(J18="vuil",0.5,0))</f>
        <v>1</v>
      </c>
      <c r="AJ18" s="2" t="n">
        <f aca="false">K18/5</f>
        <v>0.6</v>
      </c>
      <c r="AK18" s="2" t="n">
        <f aca="false">IF(L18="ja",1,0)</f>
        <v>0</v>
      </c>
      <c r="AL18" s="2" t="n">
        <f aca="false">IF(M18="ja",1,0)</f>
        <v>1</v>
      </c>
      <c r="AM18" s="2" t="n">
        <f aca="false">IF(N18="ja",1,0)</f>
        <v>0</v>
      </c>
      <c r="AN18" s="2" t="n">
        <f aca="false">IF(O18="exact",1,0)</f>
        <v>1</v>
      </c>
      <c r="AO18" s="2" t="n">
        <f aca="false">IF(T18="ja",1,0)</f>
        <v>1</v>
      </c>
      <c r="AP18" s="2" t="n">
        <f aca="false">IF(U18="ja",1,0)</f>
        <v>0</v>
      </c>
      <c r="AQ18" s="2" t="n">
        <f aca="false">IF(V18="ja",1,0)</f>
        <v>1</v>
      </c>
      <c r="AR18" s="2" t="n">
        <f aca="false">IF(W18="Bennett",1,IF(W18="meting",0.5,0))</f>
        <v>1</v>
      </c>
      <c r="AS18" s="2" t="n">
        <f aca="false">IF(X18="ja",1,0)</f>
        <v>0</v>
      </c>
      <c r="AT18" s="2" t="n">
        <f aca="false">Z18/5</f>
        <v>0.8</v>
      </c>
      <c r="AU18" s="2" t="n">
        <f aca="false">AA18/5</f>
        <v>0.8</v>
      </c>
    </row>
    <row r="19" customFormat="false" ht="77.6" hidden="false" customHeight="false" outlineLevel="0" collapsed="false">
      <c r="A19" s="2" t="s">
        <v>159</v>
      </c>
      <c r="B19" s="5" t="s">
        <v>160</v>
      </c>
      <c r="C19" s="6" t="s">
        <v>161</v>
      </c>
      <c r="D19" s="6" t="s">
        <v>162</v>
      </c>
      <c r="E19" s="6" t="s">
        <v>70</v>
      </c>
      <c r="F19" s="5" t="s">
        <v>157</v>
      </c>
      <c r="G19" s="6" t="s">
        <v>100</v>
      </c>
      <c r="H19" s="6" t="s">
        <v>73</v>
      </c>
      <c r="I19" s="6" t="s">
        <v>74</v>
      </c>
      <c r="J19" s="6" t="s">
        <v>75</v>
      </c>
      <c r="K19" s="6" t="n">
        <v>2</v>
      </c>
      <c r="L19" s="6" t="s">
        <v>76</v>
      </c>
      <c r="M19" s="6" t="s">
        <v>76</v>
      </c>
      <c r="N19" s="6" t="s">
        <v>76</v>
      </c>
      <c r="O19" s="6" t="s">
        <v>77</v>
      </c>
      <c r="P19" s="6" t="s">
        <v>78</v>
      </c>
      <c r="Q19" s="6" t="s">
        <v>80</v>
      </c>
      <c r="R19" s="6" t="s">
        <v>80</v>
      </c>
      <c r="S19" s="6" t="s">
        <v>80</v>
      </c>
      <c r="T19" s="6" t="s">
        <v>73</v>
      </c>
      <c r="U19" s="6" t="s">
        <v>76</v>
      </c>
      <c r="V19" s="6" t="s">
        <v>73</v>
      </c>
      <c r="W19" s="6" t="s">
        <v>81</v>
      </c>
      <c r="X19" s="6" t="s">
        <v>76</v>
      </c>
      <c r="Y19" s="6" t="s">
        <v>82</v>
      </c>
      <c r="Z19" s="6" t="n">
        <v>3</v>
      </c>
      <c r="AA19" s="6" t="n">
        <v>3</v>
      </c>
      <c r="AB19" s="6" t="s">
        <v>74</v>
      </c>
      <c r="AC19" s="6" t="s">
        <v>74</v>
      </c>
      <c r="AD19" s="6" t="s">
        <v>107</v>
      </c>
      <c r="AE19" s="6" t="s">
        <v>73</v>
      </c>
      <c r="AF19" s="5" t="s">
        <v>163</v>
      </c>
      <c r="AG19" s="3"/>
      <c r="AH19" s="2" t="n">
        <f aca="false">IF(H19="ja",1,0)</f>
        <v>1</v>
      </c>
      <c r="AI19" s="2" t="n">
        <f aca="false">IF(J19="schoon",1,IF(J19="vuil",0.5,0))</f>
        <v>1</v>
      </c>
      <c r="AJ19" s="2" t="n">
        <f aca="false">K19/5</f>
        <v>0.4</v>
      </c>
      <c r="AK19" s="2" t="n">
        <f aca="false">IF(L19="ja",1,0)</f>
        <v>0</v>
      </c>
      <c r="AL19" s="2" t="n">
        <f aca="false">IF(M19="ja",1,0)</f>
        <v>0</v>
      </c>
      <c r="AM19" s="2" t="n">
        <f aca="false">IF(N19="ja",1,0)</f>
        <v>0</v>
      </c>
      <c r="AN19" s="2" t="n">
        <f aca="false">IF(O19="exact",1,0)</f>
        <v>1</v>
      </c>
      <c r="AO19" s="2" t="n">
        <f aca="false">IF(T19="ja",1,0)</f>
        <v>1</v>
      </c>
      <c r="AP19" s="2" t="n">
        <f aca="false">IF(U19="ja",1,0)</f>
        <v>0</v>
      </c>
      <c r="AQ19" s="2" t="n">
        <f aca="false">IF(V19="ja",1,0)</f>
        <v>1</v>
      </c>
      <c r="AR19" s="2" t="n">
        <f aca="false">IF(W19="Bennett",1,IF(W19="meting",0.5,0))</f>
        <v>1</v>
      </c>
      <c r="AS19" s="2" t="n">
        <f aca="false">IF(X19="ja",1,0)</f>
        <v>0</v>
      </c>
      <c r="AT19" s="2" t="n">
        <f aca="false">Z19/5</f>
        <v>0.6</v>
      </c>
      <c r="AU19" s="2" t="n">
        <f aca="false">AA19/5</f>
        <v>0.6</v>
      </c>
    </row>
    <row r="20" customFormat="false" ht="77.6" hidden="false" customHeight="false" outlineLevel="0" collapsed="false">
      <c r="A20" s="2" t="s">
        <v>164</v>
      </c>
      <c r="B20" s="5" t="s">
        <v>165</v>
      </c>
      <c r="C20" s="6" t="s">
        <v>114</v>
      </c>
      <c r="D20" s="6" t="s">
        <v>115</v>
      </c>
      <c r="E20" s="6" t="s">
        <v>70</v>
      </c>
      <c r="F20" s="5" t="s">
        <v>157</v>
      </c>
      <c r="G20" s="6" t="s">
        <v>89</v>
      </c>
      <c r="H20" s="6" t="s">
        <v>76</v>
      </c>
      <c r="I20" s="6" t="s">
        <v>74</v>
      </c>
      <c r="J20" s="6" t="s">
        <v>90</v>
      </c>
      <c r="K20" s="6" t="n">
        <v>1</v>
      </c>
      <c r="L20" s="6" t="s">
        <v>76</v>
      </c>
      <c r="M20" s="6" t="s">
        <v>76</v>
      </c>
      <c r="N20" s="6" t="s">
        <v>76</v>
      </c>
      <c r="O20" s="6" t="s">
        <v>102</v>
      </c>
      <c r="P20" s="6" t="s">
        <v>103</v>
      </c>
      <c r="Q20" s="6" t="s">
        <v>74</v>
      </c>
      <c r="R20" s="6" t="s">
        <v>74</v>
      </c>
      <c r="S20" s="6" t="s">
        <v>74</v>
      </c>
      <c r="T20" s="6" t="s">
        <v>73</v>
      </c>
      <c r="U20" s="6" t="s">
        <v>76</v>
      </c>
      <c r="V20" s="6" t="s">
        <v>73</v>
      </c>
      <c r="W20" s="6" t="s">
        <v>90</v>
      </c>
      <c r="X20" s="6" t="s">
        <v>76</v>
      </c>
      <c r="Y20" s="6" t="s">
        <v>82</v>
      </c>
      <c r="Z20" s="6" t="n">
        <v>2</v>
      </c>
      <c r="AA20" s="6" t="n">
        <v>3</v>
      </c>
      <c r="AB20" s="6" t="n">
        <v>0</v>
      </c>
      <c r="AC20" s="6" t="n">
        <v>0</v>
      </c>
      <c r="AD20" s="6" t="s">
        <v>73</v>
      </c>
      <c r="AE20" s="6" t="s">
        <v>73</v>
      </c>
      <c r="AF20" s="5" t="s">
        <v>166</v>
      </c>
      <c r="AG20" s="3"/>
      <c r="AH20" s="2" t="n">
        <f aca="false">IF(H20="ja",1,0)</f>
        <v>0</v>
      </c>
      <c r="AI20" s="2" t="n">
        <f aca="false">IF(J20="schoon",1,IF(J20="vuil",0.5,0))</f>
        <v>0</v>
      </c>
      <c r="AJ20" s="2" t="n">
        <f aca="false">K20/5</f>
        <v>0.2</v>
      </c>
      <c r="AK20" s="2" t="n">
        <f aca="false">IF(L20="ja",1,0)</f>
        <v>0</v>
      </c>
      <c r="AL20" s="2" t="n">
        <f aca="false">IF(M20="ja",1,0)</f>
        <v>0</v>
      </c>
      <c r="AM20" s="2" t="n">
        <f aca="false">IF(N20="ja",1,0)</f>
        <v>0</v>
      </c>
      <c r="AN20" s="2" t="n">
        <f aca="false">IF(O20="exact",1,0)</f>
        <v>0</v>
      </c>
      <c r="AO20" s="2" t="n">
        <f aca="false">IF(T20="ja",1,0)</f>
        <v>1</v>
      </c>
      <c r="AP20" s="2" t="n">
        <f aca="false">IF(U20="ja",1,0)</f>
        <v>0</v>
      </c>
      <c r="AQ20" s="2" t="n">
        <f aca="false">IF(V20="ja",1,0)</f>
        <v>1</v>
      </c>
      <c r="AR20" s="2" t="n">
        <f aca="false">IF(W20="Bennett",1,IF(W20="meting",0.5,0))</f>
        <v>0</v>
      </c>
      <c r="AS20" s="2" t="n">
        <f aca="false">IF(X20="ja",1,0)</f>
        <v>0</v>
      </c>
      <c r="AT20" s="2" t="n">
        <f aca="false">Z20/5</f>
        <v>0.4</v>
      </c>
      <c r="AU20" s="2" t="n">
        <f aca="false">AA20/5</f>
        <v>0.6</v>
      </c>
    </row>
    <row r="21" customFormat="false" ht="52.2" hidden="false" customHeight="false" outlineLevel="0" collapsed="false">
      <c r="A21" s="2" t="s">
        <v>167</v>
      </c>
      <c r="B21" s="5" t="s">
        <v>168</v>
      </c>
      <c r="C21" s="6" t="s">
        <v>86</v>
      </c>
      <c r="D21" s="6" t="s">
        <v>87</v>
      </c>
      <c r="E21" s="6" t="s">
        <v>70</v>
      </c>
      <c r="F21" s="5" t="s">
        <v>169</v>
      </c>
      <c r="G21" s="6" t="s">
        <v>89</v>
      </c>
      <c r="H21" s="6" t="s">
        <v>76</v>
      </c>
      <c r="I21" s="6" t="s">
        <v>74</v>
      </c>
      <c r="J21" s="6" t="s">
        <v>90</v>
      </c>
      <c r="K21" s="6" t="n">
        <v>2</v>
      </c>
      <c r="L21" s="6" t="s">
        <v>76</v>
      </c>
      <c r="M21" s="6" t="s">
        <v>76</v>
      </c>
      <c r="N21" s="6" t="s">
        <v>76</v>
      </c>
      <c r="O21" s="6" t="s">
        <v>77</v>
      </c>
      <c r="P21" s="6" t="s">
        <v>78</v>
      </c>
      <c r="Q21" s="6" t="s">
        <v>74</v>
      </c>
      <c r="R21" s="6" t="s">
        <v>74</v>
      </c>
      <c r="S21" s="6" t="s">
        <v>74</v>
      </c>
      <c r="T21" s="6" t="s">
        <v>73</v>
      </c>
      <c r="U21" s="6" t="s">
        <v>76</v>
      </c>
      <c r="V21" s="6" t="s">
        <v>76</v>
      </c>
      <c r="W21" s="6" t="s">
        <v>90</v>
      </c>
      <c r="X21" s="6" t="s">
        <v>76</v>
      </c>
      <c r="Y21" s="6" t="s">
        <v>82</v>
      </c>
      <c r="Z21" s="6" t="n">
        <v>3</v>
      </c>
      <c r="AA21" s="6" t="n">
        <v>3</v>
      </c>
      <c r="AB21" s="6" t="s">
        <v>74</v>
      </c>
      <c r="AC21" s="6" t="s">
        <v>74</v>
      </c>
      <c r="AD21" s="6" t="s">
        <v>76</v>
      </c>
      <c r="AE21" s="6" t="s">
        <v>73</v>
      </c>
      <c r="AF21" s="5" t="s">
        <v>170</v>
      </c>
      <c r="AG21" s="3"/>
      <c r="AH21" s="2" t="n">
        <f aca="false">IF(H21="ja",1,0)</f>
        <v>0</v>
      </c>
      <c r="AI21" s="2" t="n">
        <f aca="false">IF(J21="schoon",1,IF(J21="vuil",0.5,0))</f>
        <v>0</v>
      </c>
      <c r="AJ21" s="2" t="n">
        <f aca="false">K21/5</f>
        <v>0.4</v>
      </c>
      <c r="AK21" s="2" t="n">
        <f aca="false">IF(L21="ja",1,0)</f>
        <v>0</v>
      </c>
      <c r="AL21" s="2" t="n">
        <f aca="false">IF(M21="ja",1,0)</f>
        <v>0</v>
      </c>
      <c r="AM21" s="2" t="n">
        <f aca="false">IF(N21="ja",1,0)</f>
        <v>0</v>
      </c>
      <c r="AN21" s="2" t="n">
        <f aca="false">IF(O21="exact",1,0)</f>
        <v>1</v>
      </c>
      <c r="AO21" s="2" t="n">
        <f aca="false">IF(T21="ja",1,0)</f>
        <v>1</v>
      </c>
      <c r="AP21" s="2" t="n">
        <f aca="false">IF(U21="ja",1,0)</f>
        <v>0</v>
      </c>
      <c r="AQ21" s="2" t="n">
        <f aca="false">IF(V21="ja",1,0)</f>
        <v>0</v>
      </c>
      <c r="AR21" s="2" t="n">
        <f aca="false">IF(W21="Bennett",1,IF(W21="meting",0.5,0))</f>
        <v>0</v>
      </c>
      <c r="AS21" s="2" t="n">
        <f aca="false">IF(X21="ja",1,0)</f>
        <v>0</v>
      </c>
      <c r="AT21" s="2" t="n">
        <f aca="false">Z21/5</f>
        <v>0.6</v>
      </c>
      <c r="AU21" s="2" t="n">
        <f aca="false">AA21/5</f>
        <v>0.6</v>
      </c>
    </row>
    <row r="22" customFormat="false" ht="90.25" hidden="false" customHeight="false" outlineLevel="0" collapsed="false">
      <c r="A22" s="2" t="s">
        <v>171</v>
      </c>
      <c r="B22" s="5" t="s">
        <v>172</v>
      </c>
      <c r="C22" s="6" t="s">
        <v>173</v>
      </c>
      <c r="D22" s="6" t="s">
        <v>87</v>
      </c>
      <c r="E22" s="6" t="s">
        <v>70</v>
      </c>
      <c r="F22" s="5" t="s">
        <v>174</v>
      </c>
      <c r="G22" s="6" t="s">
        <v>89</v>
      </c>
      <c r="H22" s="6" t="s">
        <v>73</v>
      </c>
      <c r="I22" s="6" t="s">
        <v>74</v>
      </c>
      <c r="J22" s="6" t="s">
        <v>75</v>
      </c>
      <c r="K22" s="6" t="n">
        <v>2</v>
      </c>
      <c r="L22" s="6" t="s">
        <v>76</v>
      </c>
      <c r="M22" s="6" t="s">
        <v>73</v>
      </c>
      <c r="N22" s="6" t="s">
        <v>76</v>
      </c>
      <c r="O22" s="6" t="s">
        <v>102</v>
      </c>
      <c r="P22" s="6" t="s">
        <v>103</v>
      </c>
      <c r="Q22" s="6" t="s">
        <v>80</v>
      </c>
      <c r="R22" s="6" t="s">
        <v>80</v>
      </c>
      <c r="S22" s="6" t="s">
        <v>80</v>
      </c>
      <c r="T22" s="6" t="s">
        <v>73</v>
      </c>
      <c r="U22" s="6" t="s">
        <v>76</v>
      </c>
      <c r="V22" s="6" t="s">
        <v>76</v>
      </c>
      <c r="W22" s="6" t="s">
        <v>105</v>
      </c>
      <c r="X22" s="6" t="s">
        <v>76</v>
      </c>
      <c r="Y22" s="6" t="s">
        <v>82</v>
      </c>
      <c r="Z22" s="6" t="n">
        <v>2</v>
      </c>
      <c r="AA22" s="6" t="n">
        <v>5</v>
      </c>
      <c r="AB22" s="6" t="n">
        <v>0</v>
      </c>
      <c r="AC22" s="6" t="n">
        <v>0</v>
      </c>
      <c r="AD22" s="6" t="s">
        <v>73</v>
      </c>
      <c r="AE22" s="6" t="s">
        <v>73</v>
      </c>
      <c r="AF22" s="5" t="s">
        <v>175</v>
      </c>
      <c r="AG22" s="3"/>
      <c r="AH22" s="2" t="n">
        <f aca="false">IF(H22="ja",1,0)</f>
        <v>1</v>
      </c>
      <c r="AI22" s="2" t="n">
        <f aca="false">IF(J22="schoon",1,IF(J22="vuil",0.5,0))</f>
        <v>1</v>
      </c>
      <c r="AJ22" s="2" t="n">
        <f aca="false">K22/5</f>
        <v>0.4</v>
      </c>
      <c r="AK22" s="2" t="n">
        <f aca="false">IF(L22="ja",1,0)</f>
        <v>0</v>
      </c>
      <c r="AL22" s="2" t="n">
        <f aca="false">IF(M22="ja",1,0)</f>
        <v>1</v>
      </c>
      <c r="AM22" s="2" t="n">
        <f aca="false">IF(N22="ja",1,0)</f>
        <v>0</v>
      </c>
      <c r="AN22" s="2" t="n">
        <f aca="false">IF(O22="exact",1,0)</f>
        <v>0</v>
      </c>
      <c r="AO22" s="2" t="n">
        <f aca="false">IF(T22="ja",1,0)</f>
        <v>1</v>
      </c>
      <c r="AP22" s="2" t="n">
        <f aca="false">IF(U22="ja",1,0)</f>
        <v>0</v>
      </c>
      <c r="AQ22" s="2" t="n">
        <f aca="false">IF(V22="ja",1,0)</f>
        <v>0</v>
      </c>
      <c r="AR22" s="2" t="n">
        <f aca="false">IF(W22="Bennett",1,IF(W22="meting",0.5,0))</f>
        <v>0.5</v>
      </c>
      <c r="AS22" s="2" t="n">
        <f aca="false">IF(X22="ja",1,0)</f>
        <v>0</v>
      </c>
      <c r="AT22" s="2" t="n">
        <f aca="false">Z22/5</f>
        <v>0.4</v>
      </c>
      <c r="AU22" s="2" t="n">
        <f aca="false">AA22/5</f>
        <v>1</v>
      </c>
    </row>
    <row r="23" customFormat="false" ht="52.2" hidden="false" customHeight="false" outlineLevel="0" collapsed="false">
      <c r="A23" s="2" t="s">
        <v>176</v>
      </c>
      <c r="B23" s="5" t="s">
        <v>177</v>
      </c>
      <c r="C23" s="6" t="s">
        <v>98</v>
      </c>
      <c r="D23" s="6" t="s">
        <v>87</v>
      </c>
      <c r="E23" s="6" t="s">
        <v>70</v>
      </c>
      <c r="F23" s="5" t="s">
        <v>178</v>
      </c>
      <c r="G23" s="6" t="s">
        <v>100</v>
      </c>
      <c r="H23" s="6" t="s">
        <v>76</v>
      </c>
      <c r="I23" s="6" t="s">
        <v>74</v>
      </c>
      <c r="J23" s="6" t="s">
        <v>101</v>
      </c>
      <c r="K23" s="6" t="n">
        <v>2</v>
      </c>
      <c r="L23" s="6" t="s">
        <v>76</v>
      </c>
      <c r="M23" s="6" t="s">
        <v>76</v>
      </c>
      <c r="N23" s="6" t="s">
        <v>76</v>
      </c>
      <c r="O23" s="6" t="s">
        <v>77</v>
      </c>
      <c r="P23" s="6" t="s">
        <v>78</v>
      </c>
      <c r="Q23" s="6" t="s">
        <v>104</v>
      </c>
      <c r="R23" s="6" t="s">
        <v>74</v>
      </c>
      <c r="S23" s="6" t="s">
        <v>74</v>
      </c>
      <c r="T23" s="6" t="s">
        <v>73</v>
      </c>
      <c r="U23" s="6" t="s">
        <v>76</v>
      </c>
      <c r="V23" s="6" t="s">
        <v>76</v>
      </c>
      <c r="W23" s="6" t="s">
        <v>90</v>
      </c>
      <c r="X23" s="6" t="s">
        <v>76</v>
      </c>
      <c r="Y23" s="6" t="s">
        <v>106</v>
      </c>
      <c r="Z23" s="6" t="n">
        <v>3</v>
      </c>
      <c r="AA23" s="6" t="n">
        <v>3</v>
      </c>
      <c r="AB23" s="6" t="n">
        <v>0</v>
      </c>
      <c r="AC23" s="6" t="n">
        <v>0</v>
      </c>
      <c r="AD23" s="6" t="s">
        <v>73</v>
      </c>
      <c r="AE23" s="6" t="s">
        <v>73</v>
      </c>
      <c r="AF23" s="5" t="s">
        <v>179</v>
      </c>
      <c r="AG23" s="3"/>
      <c r="AH23" s="2" t="n">
        <f aca="false">IF(H23="ja",1,0)</f>
        <v>0</v>
      </c>
      <c r="AI23" s="2" t="n">
        <f aca="false">IF(J23="schoon",1,IF(J23="vuil",0.5,0))</f>
        <v>0.5</v>
      </c>
      <c r="AJ23" s="2" t="n">
        <f aca="false">K23/5</f>
        <v>0.4</v>
      </c>
      <c r="AK23" s="2" t="n">
        <f aca="false">IF(L23="ja",1,0)</f>
        <v>0</v>
      </c>
      <c r="AL23" s="2" t="n">
        <f aca="false">IF(M23="ja",1,0)</f>
        <v>0</v>
      </c>
      <c r="AM23" s="2" t="n">
        <f aca="false">IF(N23="ja",1,0)</f>
        <v>0</v>
      </c>
      <c r="AN23" s="2" t="n">
        <f aca="false">IF(O23="exact",1,0)</f>
        <v>1</v>
      </c>
      <c r="AO23" s="2" t="n">
        <f aca="false">IF(T23="ja",1,0)</f>
        <v>1</v>
      </c>
      <c r="AP23" s="2" t="n">
        <f aca="false">IF(U23="ja",1,0)</f>
        <v>0</v>
      </c>
      <c r="AQ23" s="2" t="n">
        <f aca="false">IF(V23="ja",1,0)</f>
        <v>0</v>
      </c>
      <c r="AR23" s="2" t="n">
        <f aca="false">IF(W23="Bennett",1,IF(W23="meting",0.5,0))</f>
        <v>0</v>
      </c>
      <c r="AS23" s="2" t="n">
        <f aca="false">IF(X23="ja",1,0)</f>
        <v>0</v>
      </c>
      <c r="AT23" s="2" t="n">
        <f aca="false">Z23/5</f>
        <v>0.6</v>
      </c>
      <c r="AU23" s="2" t="n">
        <f aca="false">AA23/5</f>
        <v>0.6</v>
      </c>
    </row>
    <row r="24" customFormat="false" ht="64.9" hidden="false" customHeight="false" outlineLevel="0" collapsed="false">
      <c r="A24" s="2" t="s">
        <v>180</v>
      </c>
      <c r="B24" s="5" t="s">
        <v>181</v>
      </c>
      <c r="C24" s="6" t="s">
        <v>98</v>
      </c>
      <c r="D24" s="6" t="s">
        <v>87</v>
      </c>
      <c r="E24" s="6" t="s">
        <v>70</v>
      </c>
      <c r="F24" s="5" t="s">
        <v>99</v>
      </c>
      <c r="G24" s="6" t="s">
        <v>100</v>
      </c>
      <c r="H24" s="6" t="s">
        <v>76</v>
      </c>
      <c r="I24" s="6" t="s">
        <v>74</v>
      </c>
      <c r="J24" s="6" t="s">
        <v>101</v>
      </c>
      <c r="K24" s="6" t="n">
        <v>2</v>
      </c>
      <c r="L24" s="6" t="s">
        <v>76</v>
      </c>
      <c r="M24" s="6" t="s">
        <v>76</v>
      </c>
      <c r="N24" s="6" t="s">
        <v>76</v>
      </c>
      <c r="O24" s="6" t="s">
        <v>77</v>
      </c>
      <c r="P24" s="6" t="s">
        <v>78</v>
      </c>
      <c r="Q24" s="6" t="s">
        <v>104</v>
      </c>
      <c r="R24" s="6" t="s">
        <v>74</v>
      </c>
      <c r="S24" s="6" t="s">
        <v>74</v>
      </c>
      <c r="T24" s="6" t="s">
        <v>73</v>
      </c>
      <c r="U24" s="6" t="s">
        <v>76</v>
      </c>
      <c r="V24" s="6" t="s">
        <v>76</v>
      </c>
      <c r="W24" s="6" t="s">
        <v>90</v>
      </c>
      <c r="X24" s="6" t="s">
        <v>76</v>
      </c>
      <c r="Y24" s="6" t="s">
        <v>106</v>
      </c>
      <c r="Z24" s="6" t="n">
        <v>3</v>
      </c>
      <c r="AA24" s="6" t="n">
        <v>3</v>
      </c>
      <c r="AB24" s="6" t="s">
        <v>74</v>
      </c>
      <c r="AC24" s="6" t="s">
        <v>74</v>
      </c>
      <c r="AD24" s="6" t="s">
        <v>76</v>
      </c>
      <c r="AE24" s="6" t="s">
        <v>73</v>
      </c>
      <c r="AF24" s="5" t="s">
        <v>182</v>
      </c>
      <c r="AG24" s="3"/>
      <c r="AH24" s="2" t="n">
        <f aca="false">IF(H24="ja",1,0)</f>
        <v>0</v>
      </c>
      <c r="AI24" s="2" t="n">
        <f aca="false">IF(J24="schoon",1,IF(J24="vuil",0.5,0))</f>
        <v>0.5</v>
      </c>
      <c r="AJ24" s="2" t="n">
        <f aca="false">K24/5</f>
        <v>0.4</v>
      </c>
      <c r="AK24" s="2" t="n">
        <f aca="false">IF(L24="ja",1,0)</f>
        <v>0</v>
      </c>
      <c r="AL24" s="2" t="n">
        <f aca="false">IF(M24="ja",1,0)</f>
        <v>0</v>
      </c>
      <c r="AM24" s="2" t="n">
        <f aca="false">IF(N24="ja",1,0)</f>
        <v>0</v>
      </c>
      <c r="AN24" s="2" t="n">
        <f aca="false">IF(O24="exact",1,0)</f>
        <v>1</v>
      </c>
      <c r="AO24" s="2" t="n">
        <f aca="false">IF(T24="ja",1,0)</f>
        <v>1</v>
      </c>
      <c r="AP24" s="2" t="n">
        <f aca="false">IF(U24="ja",1,0)</f>
        <v>0</v>
      </c>
      <c r="AQ24" s="2" t="n">
        <f aca="false">IF(V24="ja",1,0)</f>
        <v>0</v>
      </c>
      <c r="AR24" s="2" t="n">
        <f aca="false">IF(W24="Bennett",1,IF(W24="meting",0.5,0))</f>
        <v>0</v>
      </c>
      <c r="AS24" s="2" t="n">
        <f aca="false">IF(X24="ja",1,0)</f>
        <v>0</v>
      </c>
      <c r="AT24" s="2" t="n">
        <f aca="false">Z24/5</f>
        <v>0.6</v>
      </c>
      <c r="AU24" s="2" t="n">
        <f aca="false">AA24/5</f>
        <v>0.6</v>
      </c>
    </row>
    <row r="25" customFormat="false" ht="102.95" hidden="false" customHeight="false" outlineLevel="0" collapsed="false">
      <c r="A25" s="2" t="s">
        <v>183</v>
      </c>
      <c r="B25" s="5" t="s">
        <v>184</v>
      </c>
      <c r="C25" s="6" t="s">
        <v>185</v>
      </c>
      <c r="D25" s="6" t="s">
        <v>69</v>
      </c>
      <c r="E25" s="6" t="s">
        <v>70</v>
      </c>
      <c r="F25" s="5" t="s">
        <v>186</v>
      </c>
      <c r="G25" s="6" t="s">
        <v>89</v>
      </c>
      <c r="H25" s="6" t="s">
        <v>73</v>
      </c>
      <c r="I25" s="6" t="s">
        <v>74</v>
      </c>
      <c r="J25" s="6" t="s">
        <v>75</v>
      </c>
      <c r="K25" s="6" t="n">
        <v>3</v>
      </c>
      <c r="L25" s="6" t="s">
        <v>76</v>
      </c>
      <c r="M25" s="6" t="s">
        <v>76</v>
      </c>
      <c r="N25" s="6" t="s">
        <v>76</v>
      </c>
      <c r="O25" s="6" t="s">
        <v>77</v>
      </c>
      <c r="P25" s="6" t="s">
        <v>78</v>
      </c>
      <c r="Q25" s="6" t="s">
        <v>187</v>
      </c>
      <c r="R25" s="6" t="s">
        <v>80</v>
      </c>
      <c r="S25" s="6" t="s">
        <v>80</v>
      </c>
      <c r="T25" s="6" t="s">
        <v>73</v>
      </c>
      <c r="U25" s="6" t="s">
        <v>76</v>
      </c>
      <c r="V25" s="6" t="s">
        <v>76</v>
      </c>
      <c r="W25" s="6" t="s">
        <v>81</v>
      </c>
      <c r="X25" s="6" t="s">
        <v>76</v>
      </c>
      <c r="Y25" s="6" t="s">
        <v>82</v>
      </c>
      <c r="Z25" s="6" t="n">
        <v>3</v>
      </c>
      <c r="AA25" s="6" t="n">
        <v>5</v>
      </c>
      <c r="AB25" s="6" t="n">
        <v>0</v>
      </c>
      <c r="AC25" s="6" t="n">
        <v>0</v>
      </c>
      <c r="AD25" s="6" t="s">
        <v>73</v>
      </c>
      <c r="AE25" s="6" t="s">
        <v>73</v>
      </c>
      <c r="AF25" s="5" t="s">
        <v>188</v>
      </c>
      <c r="AG25" s="3"/>
      <c r="AH25" s="2" t="n">
        <f aca="false">IF(H25="ja",1,0)</f>
        <v>1</v>
      </c>
      <c r="AI25" s="2" t="n">
        <f aca="false">IF(J25="schoon",1,IF(J25="vuil",0.5,0))</f>
        <v>1</v>
      </c>
      <c r="AJ25" s="2" t="n">
        <f aca="false">K25/5</f>
        <v>0.6</v>
      </c>
      <c r="AK25" s="2" t="n">
        <f aca="false">IF(L25="ja",1,0)</f>
        <v>0</v>
      </c>
      <c r="AL25" s="2" t="n">
        <f aca="false">IF(M25="ja",1,0)</f>
        <v>0</v>
      </c>
      <c r="AM25" s="2" t="n">
        <f aca="false">IF(N25="ja",1,0)</f>
        <v>0</v>
      </c>
      <c r="AN25" s="2" t="n">
        <f aca="false">IF(O25="exact",1,0)</f>
        <v>1</v>
      </c>
      <c r="AO25" s="2" t="n">
        <f aca="false">IF(T25="ja",1,0)</f>
        <v>1</v>
      </c>
      <c r="AP25" s="2" t="n">
        <f aca="false">IF(U25="ja",1,0)</f>
        <v>0</v>
      </c>
      <c r="AQ25" s="2" t="n">
        <f aca="false">IF(V25="ja",1,0)</f>
        <v>0</v>
      </c>
      <c r="AR25" s="2" t="n">
        <f aca="false">IF(W25="Bennett",1,IF(W25="meting",0.5,0))</f>
        <v>1</v>
      </c>
      <c r="AS25" s="2" t="n">
        <f aca="false">IF(X25="ja",1,0)</f>
        <v>0</v>
      </c>
      <c r="AT25" s="2" t="n">
        <f aca="false">Z25/5</f>
        <v>0.6</v>
      </c>
      <c r="AU25" s="2" t="n">
        <f aca="false">AA25/5</f>
        <v>1</v>
      </c>
    </row>
    <row r="26" customFormat="false" ht="77.6" hidden="false" customHeight="false" outlineLevel="0" collapsed="false">
      <c r="A26" s="2" t="s">
        <v>189</v>
      </c>
      <c r="B26" s="5" t="s">
        <v>190</v>
      </c>
      <c r="C26" s="6" t="s">
        <v>185</v>
      </c>
      <c r="D26" s="6" t="s">
        <v>69</v>
      </c>
      <c r="E26" s="6" t="s">
        <v>70</v>
      </c>
      <c r="F26" s="5" t="s">
        <v>191</v>
      </c>
      <c r="G26" s="6" t="s">
        <v>89</v>
      </c>
      <c r="H26" s="6" t="s">
        <v>73</v>
      </c>
      <c r="I26" s="6" t="s">
        <v>74</v>
      </c>
      <c r="J26" s="6" t="s">
        <v>75</v>
      </c>
      <c r="K26" s="6" t="n">
        <v>3</v>
      </c>
      <c r="L26" s="6" t="s">
        <v>76</v>
      </c>
      <c r="M26" s="6" t="s">
        <v>73</v>
      </c>
      <c r="N26" s="6" t="s">
        <v>76</v>
      </c>
      <c r="O26" s="6" t="s">
        <v>102</v>
      </c>
      <c r="P26" s="6" t="s">
        <v>103</v>
      </c>
      <c r="Q26" s="6" t="s">
        <v>187</v>
      </c>
      <c r="R26" s="6" t="s">
        <v>80</v>
      </c>
      <c r="S26" s="6" t="s">
        <v>80</v>
      </c>
      <c r="T26" s="6" t="s">
        <v>73</v>
      </c>
      <c r="U26" s="6" t="s">
        <v>76</v>
      </c>
      <c r="V26" s="6" t="s">
        <v>76</v>
      </c>
      <c r="W26" s="6" t="s">
        <v>81</v>
      </c>
      <c r="X26" s="6" t="s">
        <v>76</v>
      </c>
      <c r="Y26" s="6" t="s">
        <v>82</v>
      </c>
      <c r="Z26" s="6" t="n">
        <v>3</v>
      </c>
      <c r="AA26" s="6" t="n">
        <v>5</v>
      </c>
      <c r="AB26" s="6" t="n">
        <v>0</v>
      </c>
      <c r="AC26" s="6" t="n">
        <v>0</v>
      </c>
      <c r="AD26" s="6" t="s">
        <v>73</v>
      </c>
      <c r="AE26" s="6" t="s">
        <v>73</v>
      </c>
      <c r="AF26" s="5" t="s">
        <v>192</v>
      </c>
      <c r="AG26" s="3"/>
      <c r="AH26" s="2" t="n">
        <f aca="false">IF(H26="ja",1,0)</f>
        <v>1</v>
      </c>
      <c r="AI26" s="2" t="n">
        <f aca="false">IF(J26="schoon",1,IF(J26="vuil",0.5,0))</f>
        <v>1</v>
      </c>
      <c r="AJ26" s="2" t="n">
        <f aca="false">K26/5</f>
        <v>0.6</v>
      </c>
      <c r="AK26" s="2" t="n">
        <f aca="false">IF(L26="ja",1,0)</f>
        <v>0</v>
      </c>
      <c r="AL26" s="2" t="n">
        <f aca="false">IF(M26="ja",1,0)</f>
        <v>1</v>
      </c>
      <c r="AM26" s="2" t="n">
        <f aca="false">IF(N26="ja",1,0)</f>
        <v>0</v>
      </c>
      <c r="AN26" s="2" t="n">
        <f aca="false">IF(O26="exact",1,0)</f>
        <v>0</v>
      </c>
      <c r="AO26" s="2" t="n">
        <f aca="false">IF(T26="ja",1,0)</f>
        <v>1</v>
      </c>
      <c r="AP26" s="2" t="n">
        <f aca="false">IF(U26="ja",1,0)</f>
        <v>0</v>
      </c>
      <c r="AQ26" s="2" t="n">
        <f aca="false">IF(V26="ja",1,0)</f>
        <v>0</v>
      </c>
      <c r="AR26" s="2" t="n">
        <f aca="false">IF(W26="Bennett",1,IF(W26="meting",0.5,0))</f>
        <v>1</v>
      </c>
      <c r="AS26" s="2" t="n">
        <f aca="false">IF(X26="ja",1,0)</f>
        <v>0</v>
      </c>
      <c r="AT26" s="2" t="n">
        <f aca="false">Z26/5</f>
        <v>0.6</v>
      </c>
      <c r="AU26" s="2" t="n">
        <f aca="false">AA26/5</f>
        <v>1</v>
      </c>
    </row>
    <row r="27" customFormat="false" ht="77.6" hidden="false" customHeight="false" outlineLevel="0" collapsed="false">
      <c r="A27" s="2" t="s">
        <v>193</v>
      </c>
      <c r="B27" s="5" t="s">
        <v>194</v>
      </c>
      <c r="C27" s="6" t="s">
        <v>132</v>
      </c>
      <c r="D27" s="6" t="s">
        <v>69</v>
      </c>
      <c r="E27" s="6" t="s">
        <v>70</v>
      </c>
      <c r="F27" s="5" t="s">
        <v>99</v>
      </c>
      <c r="G27" s="6" t="s">
        <v>89</v>
      </c>
      <c r="H27" s="6" t="s">
        <v>73</v>
      </c>
      <c r="I27" s="6" t="s">
        <v>74</v>
      </c>
      <c r="J27" s="6" t="s">
        <v>75</v>
      </c>
      <c r="K27" s="6" t="n">
        <v>2</v>
      </c>
      <c r="L27" s="6" t="s">
        <v>76</v>
      </c>
      <c r="M27" s="6" t="s">
        <v>76</v>
      </c>
      <c r="N27" s="6" t="s">
        <v>76</v>
      </c>
      <c r="O27" s="6" t="s">
        <v>77</v>
      </c>
      <c r="P27" s="6" t="s">
        <v>78</v>
      </c>
      <c r="Q27" s="6" t="s">
        <v>80</v>
      </c>
      <c r="R27" s="6" t="s">
        <v>80</v>
      </c>
      <c r="S27" s="6" t="s">
        <v>80</v>
      </c>
      <c r="T27" s="6" t="s">
        <v>73</v>
      </c>
      <c r="U27" s="6" t="s">
        <v>76</v>
      </c>
      <c r="V27" s="6" t="s">
        <v>76</v>
      </c>
      <c r="W27" s="6" t="s">
        <v>81</v>
      </c>
      <c r="X27" s="6" t="s">
        <v>73</v>
      </c>
      <c r="Y27" s="6" t="s">
        <v>82</v>
      </c>
      <c r="Z27" s="6" t="n">
        <v>3</v>
      </c>
      <c r="AA27" s="6" t="n">
        <v>4</v>
      </c>
      <c r="AB27" s="6" t="n">
        <v>0</v>
      </c>
      <c r="AC27" s="6" t="n">
        <v>0</v>
      </c>
      <c r="AD27" s="6" t="s">
        <v>73</v>
      </c>
      <c r="AE27" s="6" t="s">
        <v>73</v>
      </c>
      <c r="AF27" s="5" t="s">
        <v>195</v>
      </c>
      <c r="AG27" s="3"/>
      <c r="AH27" s="2" t="n">
        <f aca="false">IF(H27="ja",1,0)</f>
        <v>1</v>
      </c>
      <c r="AI27" s="2" t="n">
        <f aca="false">IF(J27="schoon",1,IF(J27="vuil",0.5,0))</f>
        <v>1</v>
      </c>
      <c r="AJ27" s="2" t="n">
        <f aca="false">K27/5</f>
        <v>0.4</v>
      </c>
      <c r="AK27" s="2" t="n">
        <f aca="false">IF(L27="ja",1,0)</f>
        <v>0</v>
      </c>
      <c r="AL27" s="2" t="n">
        <f aca="false">IF(M27="ja",1,0)</f>
        <v>0</v>
      </c>
      <c r="AM27" s="2" t="n">
        <f aca="false">IF(N27="ja",1,0)</f>
        <v>0</v>
      </c>
      <c r="AN27" s="2" t="n">
        <f aca="false">IF(O27="exact",1,0)</f>
        <v>1</v>
      </c>
      <c r="AO27" s="2" t="n">
        <f aca="false">IF(T27="ja",1,0)</f>
        <v>1</v>
      </c>
      <c r="AP27" s="2" t="n">
        <f aca="false">IF(U27="ja",1,0)</f>
        <v>0</v>
      </c>
      <c r="AQ27" s="2" t="n">
        <f aca="false">IF(V27="ja",1,0)</f>
        <v>0</v>
      </c>
      <c r="AR27" s="2" t="n">
        <f aca="false">IF(W27="Bennett",1,IF(W27="meting",0.5,0))</f>
        <v>1</v>
      </c>
      <c r="AS27" s="2" t="n">
        <f aca="false">IF(X27="ja",1,0)</f>
        <v>1</v>
      </c>
      <c r="AT27" s="2" t="n">
        <f aca="false">Z27/5</f>
        <v>0.6</v>
      </c>
      <c r="AU27" s="2" t="n">
        <f aca="false">AA27/5</f>
        <v>0.8</v>
      </c>
    </row>
    <row r="28" customFormat="false" ht="64.9" hidden="false" customHeight="false" outlineLevel="0" collapsed="false">
      <c r="A28" s="2" t="s">
        <v>196</v>
      </c>
      <c r="B28" s="5" t="s">
        <v>197</v>
      </c>
      <c r="C28" s="6" t="s">
        <v>132</v>
      </c>
      <c r="D28" s="6" t="s">
        <v>69</v>
      </c>
      <c r="E28" s="6" t="s">
        <v>70</v>
      </c>
      <c r="F28" s="5" t="s">
        <v>198</v>
      </c>
      <c r="G28" s="6" t="s">
        <v>89</v>
      </c>
      <c r="H28" s="6" t="s">
        <v>73</v>
      </c>
      <c r="I28" s="6" t="s">
        <v>74</v>
      </c>
      <c r="J28" s="6" t="s">
        <v>75</v>
      </c>
      <c r="K28" s="6" t="n">
        <v>2</v>
      </c>
      <c r="L28" s="6" t="s">
        <v>76</v>
      </c>
      <c r="M28" s="6" t="s">
        <v>76</v>
      </c>
      <c r="N28" s="6" t="s">
        <v>76</v>
      </c>
      <c r="O28" s="6" t="s">
        <v>102</v>
      </c>
      <c r="P28" s="6" t="s">
        <v>103</v>
      </c>
      <c r="Q28" s="6" t="s">
        <v>80</v>
      </c>
      <c r="R28" s="6" t="s">
        <v>80</v>
      </c>
      <c r="S28" s="6" t="s">
        <v>80</v>
      </c>
      <c r="T28" s="6" t="s">
        <v>73</v>
      </c>
      <c r="U28" s="6" t="s">
        <v>76</v>
      </c>
      <c r="V28" s="6" t="s">
        <v>76</v>
      </c>
      <c r="W28" s="6" t="s">
        <v>81</v>
      </c>
      <c r="X28" s="6" t="s">
        <v>73</v>
      </c>
      <c r="Y28" s="6" t="s">
        <v>82</v>
      </c>
      <c r="Z28" s="6" t="n">
        <v>3</v>
      </c>
      <c r="AA28" s="6" t="n">
        <v>4</v>
      </c>
      <c r="AB28" s="6" t="n">
        <v>0</v>
      </c>
      <c r="AC28" s="6" t="n">
        <v>0</v>
      </c>
      <c r="AD28" s="6" t="s">
        <v>73</v>
      </c>
      <c r="AE28" s="6" t="s">
        <v>73</v>
      </c>
      <c r="AF28" s="5" t="s">
        <v>199</v>
      </c>
      <c r="AG28" s="3"/>
      <c r="AH28" s="2" t="n">
        <f aca="false">IF(H28="ja",1,0)</f>
        <v>1</v>
      </c>
      <c r="AI28" s="2" t="n">
        <f aca="false">IF(J28="schoon",1,IF(J28="vuil",0.5,0))</f>
        <v>1</v>
      </c>
      <c r="AJ28" s="2" t="n">
        <f aca="false">K28/5</f>
        <v>0.4</v>
      </c>
      <c r="AK28" s="2" t="n">
        <f aca="false">IF(L28="ja",1,0)</f>
        <v>0</v>
      </c>
      <c r="AL28" s="2" t="n">
        <f aca="false">IF(M28="ja",1,0)</f>
        <v>0</v>
      </c>
      <c r="AM28" s="2" t="n">
        <f aca="false">IF(N28="ja",1,0)</f>
        <v>0</v>
      </c>
      <c r="AN28" s="2" t="n">
        <f aca="false">IF(O28="exact",1,0)</f>
        <v>0</v>
      </c>
      <c r="AO28" s="2" t="n">
        <f aca="false">IF(T28="ja",1,0)</f>
        <v>1</v>
      </c>
      <c r="AP28" s="2" t="n">
        <f aca="false">IF(U28="ja",1,0)</f>
        <v>0</v>
      </c>
      <c r="AQ28" s="2" t="n">
        <f aca="false">IF(V28="ja",1,0)</f>
        <v>0</v>
      </c>
      <c r="AR28" s="2" t="n">
        <f aca="false">IF(W28="Bennett",1,IF(W28="meting",0.5,0))</f>
        <v>1</v>
      </c>
      <c r="AS28" s="2" t="n">
        <f aca="false">IF(X28="ja",1,0)</f>
        <v>1</v>
      </c>
      <c r="AT28" s="2" t="n">
        <f aca="false">Z28/5</f>
        <v>0.6</v>
      </c>
      <c r="AU28" s="2" t="n">
        <f aca="false">AA28/5</f>
        <v>0.8</v>
      </c>
    </row>
    <row r="29" customFormat="false" ht="102.95" hidden="false" customHeight="false" outlineLevel="0" collapsed="false">
      <c r="A29" s="2" t="s">
        <v>200</v>
      </c>
      <c r="B29" s="5" t="s">
        <v>201</v>
      </c>
      <c r="C29" s="6" t="s">
        <v>86</v>
      </c>
      <c r="D29" s="6" t="s">
        <v>87</v>
      </c>
      <c r="E29" s="6" t="s">
        <v>70</v>
      </c>
      <c r="F29" s="5" t="s">
        <v>202</v>
      </c>
      <c r="G29" s="6" t="s">
        <v>89</v>
      </c>
      <c r="H29" s="6" t="s">
        <v>76</v>
      </c>
      <c r="I29" s="6" t="s">
        <v>74</v>
      </c>
      <c r="J29" s="6" t="s">
        <v>90</v>
      </c>
      <c r="K29" s="6" t="n">
        <v>2</v>
      </c>
      <c r="L29" s="6" t="s">
        <v>76</v>
      </c>
      <c r="M29" s="6" t="s">
        <v>73</v>
      </c>
      <c r="N29" s="6" t="s">
        <v>73</v>
      </c>
      <c r="O29" s="6" t="s">
        <v>77</v>
      </c>
      <c r="P29" s="6" t="s">
        <v>78</v>
      </c>
      <c r="Q29" s="6" t="s">
        <v>74</v>
      </c>
      <c r="R29" s="6" t="s">
        <v>74</v>
      </c>
      <c r="S29" s="6" t="s">
        <v>74</v>
      </c>
      <c r="T29" s="6" t="s">
        <v>73</v>
      </c>
      <c r="U29" s="6" t="s">
        <v>76</v>
      </c>
      <c r="V29" s="6" t="s">
        <v>76</v>
      </c>
      <c r="W29" s="6" t="s">
        <v>105</v>
      </c>
      <c r="X29" s="6" t="s">
        <v>76</v>
      </c>
      <c r="Y29" s="6" t="s">
        <v>82</v>
      </c>
      <c r="Z29" s="6" t="n">
        <v>3</v>
      </c>
      <c r="AA29" s="6" t="n">
        <v>3</v>
      </c>
      <c r="AB29" s="6" t="s">
        <v>74</v>
      </c>
      <c r="AC29" s="6" t="s">
        <v>74</v>
      </c>
      <c r="AD29" s="6" t="s">
        <v>107</v>
      </c>
      <c r="AE29" s="6" t="s">
        <v>73</v>
      </c>
      <c r="AF29" s="5" t="s">
        <v>203</v>
      </c>
      <c r="AG29" s="3"/>
      <c r="AH29" s="2" t="n">
        <f aca="false">IF(H29="ja",1,0)</f>
        <v>0</v>
      </c>
      <c r="AI29" s="2" t="n">
        <f aca="false">IF(J29="schoon",1,IF(J29="vuil",0.5,0))</f>
        <v>0</v>
      </c>
      <c r="AJ29" s="2" t="n">
        <f aca="false">K29/5</f>
        <v>0.4</v>
      </c>
      <c r="AK29" s="2" t="n">
        <f aca="false">IF(L29="ja",1,0)</f>
        <v>0</v>
      </c>
      <c r="AL29" s="2" t="n">
        <f aca="false">IF(M29="ja",1,0)</f>
        <v>1</v>
      </c>
      <c r="AM29" s="2" t="n">
        <f aca="false">IF(N29="ja",1,0)</f>
        <v>1</v>
      </c>
      <c r="AN29" s="2" t="n">
        <f aca="false">IF(O29="exact",1,0)</f>
        <v>1</v>
      </c>
      <c r="AO29" s="2" t="n">
        <f aca="false">IF(T29="ja",1,0)</f>
        <v>1</v>
      </c>
      <c r="AP29" s="2" t="n">
        <f aca="false">IF(U29="ja",1,0)</f>
        <v>0</v>
      </c>
      <c r="AQ29" s="2" t="n">
        <f aca="false">IF(V29="ja",1,0)</f>
        <v>0</v>
      </c>
      <c r="AR29" s="2" t="n">
        <f aca="false">IF(W29="Bennett",1,IF(W29="meting",0.5,0))</f>
        <v>0.5</v>
      </c>
      <c r="AS29" s="2" t="n">
        <f aca="false">IF(X29="ja",1,0)</f>
        <v>0</v>
      </c>
      <c r="AT29" s="2" t="n">
        <f aca="false">Z29/5</f>
        <v>0.6</v>
      </c>
      <c r="AU29" s="2" t="n">
        <f aca="false">AA29/5</f>
        <v>0.6</v>
      </c>
    </row>
    <row r="30" customFormat="false" ht="77.6" hidden="false" customHeight="false" outlineLevel="0" collapsed="false">
      <c r="A30" s="2" t="s">
        <v>204</v>
      </c>
      <c r="B30" s="5" t="s">
        <v>205</v>
      </c>
      <c r="C30" s="6" t="s">
        <v>206</v>
      </c>
      <c r="D30" s="6" t="s">
        <v>87</v>
      </c>
      <c r="E30" s="6" t="s">
        <v>70</v>
      </c>
      <c r="F30" s="5" t="s">
        <v>207</v>
      </c>
      <c r="G30" s="6" t="s">
        <v>89</v>
      </c>
      <c r="H30" s="6" t="s">
        <v>76</v>
      </c>
      <c r="I30" s="6" t="s">
        <v>74</v>
      </c>
      <c r="J30" s="6" t="s">
        <v>90</v>
      </c>
      <c r="K30" s="6" t="n">
        <v>1</v>
      </c>
      <c r="L30" s="6" t="s">
        <v>76</v>
      </c>
      <c r="M30" s="6" t="s">
        <v>73</v>
      </c>
      <c r="N30" s="6" t="s">
        <v>73</v>
      </c>
      <c r="O30" s="6" t="s">
        <v>77</v>
      </c>
      <c r="P30" s="6" t="s">
        <v>78</v>
      </c>
      <c r="Q30" s="6" t="s">
        <v>74</v>
      </c>
      <c r="R30" s="6" t="s">
        <v>74</v>
      </c>
      <c r="S30" s="6" t="s">
        <v>74</v>
      </c>
      <c r="T30" s="6" t="s">
        <v>73</v>
      </c>
      <c r="U30" s="6" t="s">
        <v>76</v>
      </c>
      <c r="V30" s="6" t="s">
        <v>76</v>
      </c>
      <c r="W30" s="6" t="s">
        <v>105</v>
      </c>
      <c r="X30" s="6" t="s">
        <v>73</v>
      </c>
      <c r="Y30" s="6" t="s">
        <v>82</v>
      </c>
      <c r="Z30" s="6" t="n">
        <v>2</v>
      </c>
      <c r="AA30" s="6" t="n">
        <v>4</v>
      </c>
      <c r="AB30" s="6" t="n">
        <v>0</v>
      </c>
      <c r="AC30" s="6" t="n">
        <v>0</v>
      </c>
      <c r="AD30" s="6" t="s">
        <v>73</v>
      </c>
      <c r="AE30" s="6" t="s">
        <v>73</v>
      </c>
      <c r="AF30" s="5" t="s">
        <v>208</v>
      </c>
      <c r="AG30" s="3"/>
      <c r="AH30" s="2" t="n">
        <f aca="false">IF(H30="ja",1,0)</f>
        <v>0</v>
      </c>
      <c r="AI30" s="2" t="n">
        <f aca="false">IF(J30="schoon",1,IF(J30="vuil",0.5,0))</f>
        <v>0</v>
      </c>
      <c r="AJ30" s="2" t="n">
        <f aca="false">K30/5</f>
        <v>0.2</v>
      </c>
      <c r="AK30" s="2" t="n">
        <f aca="false">IF(L30="ja",1,0)</f>
        <v>0</v>
      </c>
      <c r="AL30" s="2" t="n">
        <f aca="false">IF(M30="ja",1,0)</f>
        <v>1</v>
      </c>
      <c r="AM30" s="2" t="n">
        <f aca="false">IF(N30="ja",1,0)</f>
        <v>1</v>
      </c>
      <c r="AN30" s="2" t="n">
        <f aca="false">IF(O30="exact",1,0)</f>
        <v>1</v>
      </c>
      <c r="AO30" s="2" t="n">
        <f aca="false">IF(T30="ja",1,0)</f>
        <v>1</v>
      </c>
      <c r="AP30" s="2" t="n">
        <f aca="false">IF(U30="ja",1,0)</f>
        <v>0</v>
      </c>
      <c r="AQ30" s="2" t="n">
        <f aca="false">IF(V30="ja",1,0)</f>
        <v>0</v>
      </c>
      <c r="AR30" s="2" t="n">
        <f aca="false">IF(W30="Bennett",1,IF(W30="meting",0.5,0))</f>
        <v>0.5</v>
      </c>
      <c r="AS30" s="2" t="n">
        <f aca="false">IF(X30="ja",1,0)</f>
        <v>1</v>
      </c>
      <c r="AT30" s="2" t="n">
        <f aca="false">Z30/5</f>
        <v>0.4</v>
      </c>
      <c r="AU30" s="2" t="n">
        <f aca="false">AA30/5</f>
        <v>0.8</v>
      </c>
    </row>
    <row r="31" customFormat="false" ht="90.25" hidden="false" customHeight="false" outlineLevel="0" collapsed="false">
      <c r="A31" s="2" t="s">
        <v>209</v>
      </c>
      <c r="B31" s="5" t="s">
        <v>210</v>
      </c>
      <c r="C31" s="6" t="s">
        <v>68</v>
      </c>
      <c r="D31" s="6" t="s">
        <v>69</v>
      </c>
      <c r="E31" s="6" t="s">
        <v>70</v>
      </c>
      <c r="F31" s="5" t="s">
        <v>211</v>
      </c>
      <c r="G31" s="6" t="s">
        <v>72</v>
      </c>
      <c r="H31" s="6" t="s">
        <v>73</v>
      </c>
      <c r="I31" s="6" t="s">
        <v>74</v>
      </c>
      <c r="J31" s="6" t="s">
        <v>75</v>
      </c>
      <c r="K31" s="6" t="n">
        <v>3</v>
      </c>
      <c r="L31" s="6" t="s">
        <v>76</v>
      </c>
      <c r="M31" s="6" t="s">
        <v>76</v>
      </c>
      <c r="N31" s="6" t="s">
        <v>76</v>
      </c>
      <c r="O31" s="6" t="s">
        <v>77</v>
      </c>
      <c r="P31" s="6" t="s">
        <v>78</v>
      </c>
      <c r="Q31" s="6" t="s">
        <v>79</v>
      </c>
      <c r="R31" s="6" t="s">
        <v>80</v>
      </c>
      <c r="S31" s="6" t="s">
        <v>79</v>
      </c>
      <c r="T31" s="6" t="s">
        <v>73</v>
      </c>
      <c r="U31" s="6" t="s">
        <v>76</v>
      </c>
      <c r="V31" s="6" t="s">
        <v>73</v>
      </c>
      <c r="W31" s="6" t="s">
        <v>81</v>
      </c>
      <c r="X31" s="6" t="s">
        <v>76</v>
      </c>
      <c r="Y31" s="6" t="s">
        <v>82</v>
      </c>
      <c r="Z31" s="6" t="n">
        <v>4</v>
      </c>
      <c r="AA31" s="6" t="n">
        <v>4</v>
      </c>
      <c r="AB31" s="6" t="n">
        <v>0</v>
      </c>
      <c r="AC31" s="6" t="n">
        <v>0</v>
      </c>
      <c r="AD31" s="6" t="s">
        <v>73</v>
      </c>
      <c r="AE31" s="6" t="s">
        <v>73</v>
      </c>
      <c r="AF31" s="5" t="s">
        <v>212</v>
      </c>
      <c r="AG31" s="3"/>
      <c r="AH31" s="2" t="n">
        <f aca="false">IF(H31="ja",1,0)</f>
        <v>1</v>
      </c>
      <c r="AI31" s="2" t="n">
        <f aca="false">IF(J31="schoon",1,IF(J31="vuil",0.5,0))</f>
        <v>1</v>
      </c>
      <c r="AJ31" s="2" t="n">
        <f aca="false">K31/5</f>
        <v>0.6</v>
      </c>
      <c r="AK31" s="2" t="n">
        <f aca="false">IF(L31="ja",1,0)</f>
        <v>0</v>
      </c>
      <c r="AL31" s="2" t="n">
        <f aca="false">IF(M31="ja",1,0)</f>
        <v>0</v>
      </c>
      <c r="AM31" s="2" t="n">
        <f aca="false">IF(N31="ja",1,0)</f>
        <v>0</v>
      </c>
      <c r="AN31" s="2" t="n">
        <f aca="false">IF(O31="exact",1,0)</f>
        <v>1</v>
      </c>
      <c r="AO31" s="2" t="n">
        <f aca="false">IF(T31="ja",1,0)</f>
        <v>1</v>
      </c>
      <c r="AP31" s="2" t="n">
        <f aca="false">IF(U31="ja",1,0)</f>
        <v>0</v>
      </c>
      <c r="AQ31" s="2" t="n">
        <f aca="false">IF(V31="ja",1,0)</f>
        <v>1</v>
      </c>
      <c r="AR31" s="2" t="n">
        <f aca="false">IF(W31="Bennett",1,IF(W31="meting",0.5,0))</f>
        <v>1</v>
      </c>
      <c r="AS31" s="2" t="n">
        <f aca="false">IF(X31="ja",1,0)</f>
        <v>0</v>
      </c>
      <c r="AT31" s="2" t="n">
        <f aca="false">Z31/5</f>
        <v>0.8</v>
      </c>
      <c r="AU31" s="2" t="n">
        <f aca="false">AA31/5</f>
        <v>0.8</v>
      </c>
    </row>
    <row r="32" customFormat="false" ht="77.6" hidden="false" customHeight="false" outlineLevel="0" collapsed="false">
      <c r="A32" s="2" t="s">
        <v>213</v>
      </c>
      <c r="B32" s="5" t="s">
        <v>214</v>
      </c>
      <c r="C32" s="6" t="s">
        <v>68</v>
      </c>
      <c r="D32" s="6" t="s">
        <v>69</v>
      </c>
      <c r="E32" s="6" t="s">
        <v>70</v>
      </c>
      <c r="F32" s="5" t="s">
        <v>215</v>
      </c>
      <c r="G32" s="6" t="s">
        <v>72</v>
      </c>
      <c r="H32" s="6" t="s">
        <v>73</v>
      </c>
      <c r="I32" s="6" t="s">
        <v>74</v>
      </c>
      <c r="J32" s="6" t="s">
        <v>75</v>
      </c>
      <c r="K32" s="6" t="n">
        <v>3</v>
      </c>
      <c r="L32" s="6" t="s">
        <v>76</v>
      </c>
      <c r="M32" s="6" t="s">
        <v>73</v>
      </c>
      <c r="N32" s="6" t="s">
        <v>76</v>
      </c>
      <c r="O32" s="6" t="s">
        <v>77</v>
      </c>
      <c r="P32" s="6" t="s">
        <v>78</v>
      </c>
      <c r="Q32" s="6" t="s">
        <v>79</v>
      </c>
      <c r="R32" s="6" t="s">
        <v>80</v>
      </c>
      <c r="S32" s="6" t="s">
        <v>79</v>
      </c>
      <c r="T32" s="6" t="s">
        <v>73</v>
      </c>
      <c r="U32" s="6" t="s">
        <v>76</v>
      </c>
      <c r="V32" s="6" t="s">
        <v>73</v>
      </c>
      <c r="W32" s="6" t="s">
        <v>81</v>
      </c>
      <c r="X32" s="6" t="s">
        <v>76</v>
      </c>
      <c r="Y32" s="6" t="s">
        <v>82</v>
      </c>
      <c r="Z32" s="6" t="n">
        <v>4</v>
      </c>
      <c r="AA32" s="6" t="n">
        <v>4</v>
      </c>
      <c r="AB32" s="6" t="s">
        <v>74</v>
      </c>
      <c r="AC32" s="6" t="s">
        <v>74</v>
      </c>
      <c r="AD32" s="6" t="s">
        <v>107</v>
      </c>
      <c r="AE32" s="6" t="s">
        <v>73</v>
      </c>
      <c r="AF32" s="5" t="s">
        <v>216</v>
      </c>
      <c r="AG32" s="3"/>
      <c r="AH32" s="2" t="n">
        <f aca="false">IF(H32="ja",1,0)</f>
        <v>1</v>
      </c>
      <c r="AI32" s="2" t="n">
        <f aca="false">IF(J32="schoon",1,IF(J32="vuil",0.5,0))</f>
        <v>1</v>
      </c>
      <c r="AJ32" s="2" t="n">
        <f aca="false">K32/5</f>
        <v>0.6</v>
      </c>
      <c r="AK32" s="2" t="n">
        <f aca="false">IF(L32="ja",1,0)</f>
        <v>0</v>
      </c>
      <c r="AL32" s="2" t="n">
        <f aca="false">IF(M32="ja",1,0)</f>
        <v>1</v>
      </c>
      <c r="AM32" s="2" t="n">
        <f aca="false">IF(N32="ja",1,0)</f>
        <v>0</v>
      </c>
      <c r="AN32" s="2" t="n">
        <f aca="false">IF(O32="exact",1,0)</f>
        <v>1</v>
      </c>
      <c r="AO32" s="2" t="n">
        <f aca="false">IF(T32="ja",1,0)</f>
        <v>1</v>
      </c>
      <c r="AP32" s="2" t="n">
        <f aca="false">IF(U32="ja",1,0)</f>
        <v>0</v>
      </c>
      <c r="AQ32" s="2" t="n">
        <f aca="false">IF(V32="ja",1,0)</f>
        <v>1</v>
      </c>
      <c r="AR32" s="2" t="n">
        <f aca="false">IF(W32="Bennett",1,IF(W32="meting",0.5,0))</f>
        <v>1</v>
      </c>
      <c r="AS32" s="2" t="n">
        <f aca="false">IF(X32="ja",1,0)</f>
        <v>0</v>
      </c>
      <c r="AT32" s="2" t="n">
        <f aca="false">Z32/5</f>
        <v>0.8</v>
      </c>
      <c r="AU32" s="2" t="n">
        <f aca="false">AA32/5</f>
        <v>0.8</v>
      </c>
    </row>
    <row r="33" customFormat="false" ht="77.6" hidden="false" customHeight="false" outlineLevel="0" collapsed="false">
      <c r="A33" s="2" t="s">
        <v>217</v>
      </c>
      <c r="B33" s="5" t="s">
        <v>218</v>
      </c>
      <c r="C33" s="6" t="s">
        <v>86</v>
      </c>
      <c r="D33" s="6" t="s">
        <v>87</v>
      </c>
      <c r="E33" s="6" t="s">
        <v>70</v>
      </c>
      <c r="F33" s="5" t="s">
        <v>219</v>
      </c>
      <c r="G33" s="6" t="s">
        <v>89</v>
      </c>
      <c r="H33" s="6" t="s">
        <v>76</v>
      </c>
      <c r="I33" s="6" t="s">
        <v>74</v>
      </c>
      <c r="J33" s="6" t="s">
        <v>90</v>
      </c>
      <c r="K33" s="6" t="n">
        <v>2</v>
      </c>
      <c r="L33" s="6" t="s">
        <v>76</v>
      </c>
      <c r="M33" s="6" t="s">
        <v>73</v>
      </c>
      <c r="N33" s="6" t="s">
        <v>76</v>
      </c>
      <c r="O33" s="6" t="s">
        <v>102</v>
      </c>
      <c r="P33" s="6" t="s">
        <v>103</v>
      </c>
      <c r="Q33" s="6" t="s">
        <v>74</v>
      </c>
      <c r="R33" s="6" t="s">
        <v>74</v>
      </c>
      <c r="S33" s="6" t="s">
        <v>74</v>
      </c>
      <c r="T33" s="6" t="s">
        <v>73</v>
      </c>
      <c r="U33" s="6" t="s">
        <v>76</v>
      </c>
      <c r="V33" s="6" t="s">
        <v>76</v>
      </c>
      <c r="W33" s="6" t="s">
        <v>105</v>
      </c>
      <c r="X33" s="6" t="s">
        <v>76</v>
      </c>
      <c r="Y33" s="6" t="s">
        <v>82</v>
      </c>
      <c r="Z33" s="6" t="n">
        <v>3</v>
      </c>
      <c r="AA33" s="6" t="n">
        <v>3</v>
      </c>
      <c r="AB33" s="6" t="s">
        <v>74</v>
      </c>
      <c r="AC33" s="6" t="s">
        <v>74</v>
      </c>
      <c r="AD33" s="6" t="s">
        <v>107</v>
      </c>
      <c r="AE33" s="6" t="s">
        <v>73</v>
      </c>
      <c r="AF33" s="5" t="s">
        <v>220</v>
      </c>
      <c r="AG33" s="3"/>
      <c r="AH33" s="2" t="n">
        <f aca="false">IF(H33="ja",1,0)</f>
        <v>0</v>
      </c>
      <c r="AI33" s="2" t="n">
        <f aca="false">IF(J33="schoon",1,IF(J33="vuil",0.5,0))</f>
        <v>0</v>
      </c>
      <c r="AJ33" s="2" t="n">
        <f aca="false">K33/5</f>
        <v>0.4</v>
      </c>
      <c r="AK33" s="2" t="n">
        <f aca="false">IF(L33="ja",1,0)</f>
        <v>0</v>
      </c>
      <c r="AL33" s="2" t="n">
        <f aca="false">IF(M33="ja",1,0)</f>
        <v>1</v>
      </c>
      <c r="AM33" s="2" t="n">
        <f aca="false">IF(N33="ja",1,0)</f>
        <v>0</v>
      </c>
      <c r="AN33" s="2" t="n">
        <f aca="false">IF(O33="exact",1,0)</f>
        <v>0</v>
      </c>
      <c r="AO33" s="2" t="n">
        <f aca="false">IF(T33="ja",1,0)</f>
        <v>1</v>
      </c>
      <c r="AP33" s="2" t="n">
        <f aca="false">IF(U33="ja",1,0)</f>
        <v>0</v>
      </c>
      <c r="AQ33" s="2" t="n">
        <f aca="false">IF(V33="ja",1,0)</f>
        <v>0</v>
      </c>
      <c r="AR33" s="2" t="n">
        <f aca="false">IF(W33="Bennett",1,IF(W33="meting",0.5,0))</f>
        <v>0.5</v>
      </c>
      <c r="AS33" s="2" t="n">
        <f aca="false">IF(X33="ja",1,0)</f>
        <v>0</v>
      </c>
      <c r="AT33" s="2" t="n">
        <f aca="false">Z33/5</f>
        <v>0.6</v>
      </c>
      <c r="AU33" s="2" t="n">
        <f aca="false">AA33/5</f>
        <v>0.6</v>
      </c>
    </row>
    <row r="34" customFormat="false" ht="52.2" hidden="false" customHeight="false" outlineLevel="0" collapsed="false">
      <c r="A34" s="2" t="s">
        <v>221</v>
      </c>
      <c r="B34" s="5" t="s">
        <v>222</v>
      </c>
      <c r="C34" s="6" t="s">
        <v>86</v>
      </c>
      <c r="D34" s="6" t="s">
        <v>87</v>
      </c>
      <c r="E34" s="6" t="s">
        <v>70</v>
      </c>
      <c r="F34" s="5" t="s">
        <v>223</v>
      </c>
      <c r="G34" s="6" t="s">
        <v>89</v>
      </c>
      <c r="H34" s="6" t="s">
        <v>76</v>
      </c>
      <c r="I34" s="6" t="s">
        <v>74</v>
      </c>
      <c r="J34" s="6" t="s">
        <v>90</v>
      </c>
      <c r="K34" s="6" t="n">
        <v>2</v>
      </c>
      <c r="L34" s="6" t="s">
        <v>76</v>
      </c>
      <c r="M34" s="6" t="s">
        <v>76</v>
      </c>
      <c r="N34" s="6" t="s">
        <v>76</v>
      </c>
      <c r="O34" s="6" t="s">
        <v>77</v>
      </c>
      <c r="P34" s="6" t="s">
        <v>78</v>
      </c>
      <c r="Q34" s="6" t="s">
        <v>74</v>
      </c>
      <c r="R34" s="6" t="s">
        <v>74</v>
      </c>
      <c r="S34" s="6" t="s">
        <v>74</v>
      </c>
      <c r="T34" s="6" t="s">
        <v>73</v>
      </c>
      <c r="U34" s="6" t="s">
        <v>76</v>
      </c>
      <c r="V34" s="6" t="s">
        <v>76</v>
      </c>
      <c r="W34" s="6" t="s">
        <v>90</v>
      </c>
      <c r="X34" s="6" t="s">
        <v>76</v>
      </c>
      <c r="Y34" s="6" t="s">
        <v>82</v>
      </c>
      <c r="Z34" s="6" t="n">
        <v>3</v>
      </c>
      <c r="AA34" s="6" t="n">
        <v>3</v>
      </c>
      <c r="AB34" s="6" t="n">
        <v>0</v>
      </c>
      <c r="AC34" s="6" t="n">
        <v>0</v>
      </c>
      <c r="AD34" s="6" t="s">
        <v>73</v>
      </c>
      <c r="AE34" s="6" t="s">
        <v>73</v>
      </c>
      <c r="AF34" s="5" t="s">
        <v>224</v>
      </c>
      <c r="AG34" s="3"/>
      <c r="AH34" s="2" t="n">
        <f aca="false">IF(H34="ja",1,0)</f>
        <v>0</v>
      </c>
      <c r="AI34" s="2" t="n">
        <f aca="false">IF(J34="schoon",1,IF(J34="vuil",0.5,0))</f>
        <v>0</v>
      </c>
      <c r="AJ34" s="2" t="n">
        <f aca="false">K34/5</f>
        <v>0.4</v>
      </c>
      <c r="AK34" s="2" t="n">
        <f aca="false">IF(L34="ja",1,0)</f>
        <v>0</v>
      </c>
      <c r="AL34" s="2" t="n">
        <f aca="false">IF(M34="ja",1,0)</f>
        <v>0</v>
      </c>
      <c r="AM34" s="2" t="n">
        <f aca="false">IF(N34="ja",1,0)</f>
        <v>0</v>
      </c>
      <c r="AN34" s="2" t="n">
        <f aca="false">IF(O34="exact",1,0)</f>
        <v>1</v>
      </c>
      <c r="AO34" s="2" t="n">
        <f aca="false">IF(T34="ja",1,0)</f>
        <v>1</v>
      </c>
      <c r="AP34" s="2" t="n">
        <f aca="false">IF(U34="ja",1,0)</f>
        <v>0</v>
      </c>
      <c r="AQ34" s="2" t="n">
        <f aca="false">IF(V34="ja",1,0)</f>
        <v>0</v>
      </c>
      <c r="AR34" s="2" t="n">
        <f aca="false">IF(W34="Bennett",1,IF(W34="meting",0.5,0))</f>
        <v>0</v>
      </c>
      <c r="AS34" s="2" t="n">
        <f aca="false">IF(X34="ja",1,0)</f>
        <v>0</v>
      </c>
      <c r="AT34" s="2" t="n">
        <f aca="false">Z34/5</f>
        <v>0.6</v>
      </c>
      <c r="AU34" s="2" t="n">
        <f aca="false">AA34/5</f>
        <v>0.6</v>
      </c>
    </row>
    <row r="35" customFormat="false" ht="64.9" hidden="false" customHeight="false" outlineLevel="0" collapsed="false">
      <c r="A35" s="2" t="s">
        <v>225</v>
      </c>
      <c r="B35" s="5" t="s">
        <v>226</v>
      </c>
      <c r="C35" s="6" t="s">
        <v>98</v>
      </c>
      <c r="D35" s="6" t="s">
        <v>87</v>
      </c>
      <c r="E35" s="6" t="s">
        <v>70</v>
      </c>
      <c r="F35" s="5" t="s">
        <v>227</v>
      </c>
      <c r="G35" s="6" t="s">
        <v>100</v>
      </c>
      <c r="H35" s="6" t="s">
        <v>76</v>
      </c>
      <c r="I35" s="6" t="s">
        <v>74</v>
      </c>
      <c r="J35" s="6" t="s">
        <v>101</v>
      </c>
      <c r="K35" s="6" t="n">
        <v>2</v>
      </c>
      <c r="L35" s="6" t="s">
        <v>76</v>
      </c>
      <c r="M35" s="6" t="s">
        <v>76</v>
      </c>
      <c r="N35" s="6" t="s">
        <v>76</v>
      </c>
      <c r="O35" s="6" t="s">
        <v>77</v>
      </c>
      <c r="P35" s="6" t="s">
        <v>78</v>
      </c>
      <c r="Q35" s="6" t="s">
        <v>104</v>
      </c>
      <c r="R35" s="6" t="s">
        <v>74</v>
      </c>
      <c r="S35" s="6" t="s">
        <v>74</v>
      </c>
      <c r="T35" s="6" t="s">
        <v>73</v>
      </c>
      <c r="U35" s="6" t="s">
        <v>76</v>
      </c>
      <c r="V35" s="6" t="s">
        <v>76</v>
      </c>
      <c r="W35" s="6" t="s">
        <v>90</v>
      </c>
      <c r="X35" s="6" t="s">
        <v>76</v>
      </c>
      <c r="Y35" s="6" t="s">
        <v>106</v>
      </c>
      <c r="Z35" s="6" t="n">
        <v>3</v>
      </c>
      <c r="AA35" s="6" t="n">
        <v>3</v>
      </c>
      <c r="AB35" s="6" t="n">
        <v>0</v>
      </c>
      <c r="AC35" s="6" t="n">
        <v>0</v>
      </c>
      <c r="AD35" s="6" t="s">
        <v>73</v>
      </c>
      <c r="AE35" s="6" t="s">
        <v>73</v>
      </c>
      <c r="AF35" s="5" t="s">
        <v>228</v>
      </c>
      <c r="AG35" s="3"/>
      <c r="AH35" s="2" t="n">
        <f aca="false">IF(H35="ja",1,0)</f>
        <v>0</v>
      </c>
      <c r="AI35" s="2" t="n">
        <f aca="false">IF(J35="schoon",1,IF(J35="vuil",0.5,0))</f>
        <v>0.5</v>
      </c>
      <c r="AJ35" s="2" t="n">
        <f aca="false">K35/5</f>
        <v>0.4</v>
      </c>
      <c r="AK35" s="2" t="n">
        <f aca="false">IF(L35="ja",1,0)</f>
        <v>0</v>
      </c>
      <c r="AL35" s="2" t="n">
        <f aca="false">IF(M35="ja",1,0)</f>
        <v>0</v>
      </c>
      <c r="AM35" s="2" t="n">
        <f aca="false">IF(N35="ja",1,0)</f>
        <v>0</v>
      </c>
      <c r="AN35" s="2" t="n">
        <f aca="false">IF(O35="exact",1,0)</f>
        <v>1</v>
      </c>
      <c r="AO35" s="2" t="n">
        <f aca="false">IF(T35="ja",1,0)</f>
        <v>1</v>
      </c>
      <c r="AP35" s="2" t="n">
        <f aca="false">IF(U35="ja",1,0)</f>
        <v>0</v>
      </c>
      <c r="AQ35" s="2" t="n">
        <f aca="false">IF(V35="ja",1,0)</f>
        <v>0</v>
      </c>
      <c r="AR35" s="2" t="n">
        <f aca="false">IF(W35="Bennett",1,IF(W35="meting",0.5,0))</f>
        <v>0</v>
      </c>
      <c r="AS35" s="2" t="n">
        <f aca="false">IF(X35="ja",1,0)</f>
        <v>0</v>
      </c>
      <c r="AT35" s="2" t="n">
        <f aca="false">Z35/5</f>
        <v>0.6</v>
      </c>
      <c r="AU35" s="2" t="n">
        <f aca="false">AA35/5</f>
        <v>0.6</v>
      </c>
    </row>
    <row r="36" customFormat="false" ht="64.9" hidden="false" customHeight="false" outlineLevel="0" collapsed="false">
      <c r="A36" s="2" t="s">
        <v>229</v>
      </c>
      <c r="B36" s="5" t="s">
        <v>230</v>
      </c>
      <c r="C36" s="6" t="s">
        <v>68</v>
      </c>
      <c r="D36" s="6" t="s">
        <v>69</v>
      </c>
      <c r="E36" s="6" t="s">
        <v>70</v>
      </c>
      <c r="F36" s="5" t="s">
        <v>231</v>
      </c>
      <c r="G36" s="6" t="s">
        <v>72</v>
      </c>
      <c r="H36" s="6" t="s">
        <v>73</v>
      </c>
      <c r="I36" s="6" t="s">
        <v>74</v>
      </c>
      <c r="J36" s="6" t="s">
        <v>75</v>
      </c>
      <c r="K36" s="6" t="n">
        <v>3</v>
      </c>
      <c r="L36" s="6" t="s">
        <v>76</v>
      </c>
      <c r="M36" s="6" t="s">
        <v>76</v>
      </c>
      <c r="N36" s="6" t="s">
        <v>76</v>
      </c>
      <c r="O36" s="6" t="s">
        <v>77</v>
      </c>
      <c r="P36" s="6" t="s">
        <v>78</v>
      </c>
      <c r="Q36" s="6" t="s">
        <v>79</v>
      </c>
      <c r="R36" s="6" t="s">
        <v>80</v>
      </c>
      <c r="S36" s="6" t="s">
        <v>79</v>
      </c>
      <c r="T36" s="6" t="s">
        <v>73</v>
      </c>
      <c r="U36" s="6" t="s">
        <v>76</v>
      </c>
      <c r="V36" s="6" t="s">
        <v>73</v>
      </c>
      <c r="W36" s="6" t="s">
        <v>81</v>
      </c>
      <c r="X36" s="6" t="s">
        <v>76</v>
      </c>
      <c r="Y36" s="6" t="s">
        <v>82</v>
      </c>
      <c r="Z36" s="6" t="n">
        <v>4</v>
      </c>
      <c r="AA36" s="6" t="n">
        <v>4</v>
      </c>
      <c r="AB36" s="6" t="s">
        <v>74</v>
      </c>
      <c r="AC36" s="6" t="s">
        <v>74</v>
      </c>
      <c r="AD36" s="6" t="s">
        <v>107</v>
      </c>
      <c r="AE36" s="6" t="s">
        <v>73</v>
      </c>
      <c r="AF36" s="5" t="s">
        <v>232</v>
      </c>
      <c r="AG36" s="3"/>
      <c r="AH36" s="2" t="n">
        <f aca="false">IF(H36="ja",1,0)</f>
        <v>1</v>
      </c>
      <c r="AI36" s="2" t="n">
        <f aca="false">IF(J36="schoon",1,IF(J36="vuil",0.5,0))</f>
        <v>1</v>
      </c>
      <c r="AJ36" s="2" t="n">
        <f aca="false">K36/5</f>
        <v>0.6</v>
      </c>
      <c r="AK36" s="2" t="n">
        <f aca="false">IF(L36="ja",1,0)</f>
        <v>0</v>
      </c>
      <c r="AL36" s="2" t="n">
        <f aca="false">IF(M36="ja",1,0)</f>
        <v>0</v>
      </c>
      <c r="AM36" s="2" t="n">
        <f aca="false">IF(N36="ja",1,0)</f>
        <v>0</v>
      </c>
      <c r="AN36" s="2" t="n">
        <f aca="false">IF(O36="exact",1,0)</f>
        <v>1</v>
      </c>
      <c r="AO36" s="2" t="n">
        <f aca="false">IF(T36="ja",1,0)</f>
        <v>1</v>
      </c>
      <c r="AP36" s="2" t="n">
        <f aca="false">IF(U36="ja",1,0)</f>
        <v>0</v>
      </c>
      <c r="AQ36" s="2" t="n">
        <f aca="false">IF(V36="ja",1,0)</f>
        <v>1</v>
      </c>
      <c r="AR36" s="2" t="n">
        <f aca="false">IF(W36="Bennett",1,IF(W36="meting",0.5,0))</f>
        <v>1</v>
      </c>
      <c r="AS36" s="2" t="n">
        <f aca="false">IF(X36="ja",1,0)</f>
        <v>0</v>
      </c>
      <c r="AT36" s="2" t="n">
        <f aca="false">Z36/5</f>
        <v>0.8</v>
      </c>
      <c r="AU36" s="2" t="n">
        <f aca="false">AA36/5</f>
        <v>0.8</v>
      </c>
    </row>
    <row r="37" customFormat="false" ht="90.25" hidden="false" customHeight="false" outlineLevel="0" collapsed="false">
      <c r="A37" s="2" t="s">
        <v>233</v>
      </c>
      <c r="B37" s="5" t="s">
        <v>234</v>
      </c>
      <c r="C37" s="6" t="s">
        <v>68</v>
      </c>
      <c r="D37" s="6" t="s">
        <v>69</v>
      </c>
      <c r="E37" s="6" t="s">
        <v>70</v>
      </c>
      <c r="F37" s="5" t="s">
        <v>223</v>
      </c>
      <c r="G37" s="6" t="s">
        <v>72</v>
      </c>
      <c r="H37" s="6" t="s">
        <v>73</v>
      </c>
      <c r="I37" s="6" t="s">
        <v>74</v>
      </c>
      <c r="J37" s="6" t="s">
        <v>75</v>
      </c>
      <c r="K37" s="6" t="n">
        <v>3</v>
      </c>
      <c r="L37" s="6" t="s">
        <v>76</v>
      </c>
      <c r="M37" s="6" t="s">
        <v>73</v>
      </c>
      <c r="N37" s="6" t="s">
        <v>76</v>
      </c>
      <c r="O37" s="6" t="s">
        <v>102</v>
      </c>
      <c r="P37" s="6" t="s">
        <v>103</v>
      </c>
      <c r="Q37" s="6" t="s">
        <v>79</v>
      </c>
      <c r="R37" s="6" t="s">
        <v>80</v>
      </c>
      <c r="S37" s="6" t="s">
        <v>79</v>
      </c>
      <c r="T37" s="6" t="s">
        <v>73</v>
      </c>
      <c r="U37" s="6" t="s">
        <v>76</v>
      </c>
      <c r="V37" s="6" t="s">
        <v>73</v>
      </c>
      <c r="W37" s="6" t="s">
        <v>81</v>
      </c>
      <c r="X37" s="6" t="s">
        <v>76</v>
      </c>
      <c r="Y37" s="6" t="s">
        <v>82</v>
      </c>
      <c r="Z37" s="6" t="n">
        <v>4</v>
      </c>
      <c r="AA37" s="6" t="n">
        <v>4</v>
      </c>
      <c r="AB37" s="6" t="n">
        <v>0</v>
      </c>
      <c r="AC37" s="6" t="n">
        <v>0</v>
      </c>
      <c r="AD37" s="6" t="s">
        <v>73</v>
      </c>
      <c r="AE37" s="6" t="s">
        <v>73</v>
      </c>
      <c r="AF37" s="5" t="s">
        <v>235</v>
      </c>
      <c r="AG37" s="3"/>
      <c r="AH37" s="2" t="n">
        <f aca="false">IF(H37="ja",1,0)</f>
        <v>1</v>
      </c>
      <c r="AI37" s="2" t="n">
        <f aca="false">IF(J37="schoon",1,IF(J37="vuil",0.5,0))</f>
        <v>1</v>
      </c>
      <c r="AJ37" s="2" t="n">
        <f aca="false">K37/5</f>
        <v>0.6</v>
      </c>
      <c r="AK37" s="2" t="n">
        <f aca="false">IF(L37="ja",1,0)</f>
        <v>0</v>
      </c>
      <c r="AL37" s="2" t="n">
        <f aca="false">IF(M37="ja",1,0)</f>
        <v>1</v>
      </c>
      <c r="AM37" s="2" t="n">
        <f aca="false">IF(N37="ja",1,0)</f>
        <v>0</v>
      </c>
      <c r="AN37" s="2" t="n">
        <f aca="false">IF(O37="exact",1,0)</f>
        <v>0</v>
      </c>
      <c r="AO37" s="2" t="n">
        <f aca="false">IF(T37="ja",1,0)</f>
        <v>1</v>
      </c>
      <c r="AP37" s="2" t="n">
        <f aca="false">IF(U37="ja",1,0)</f>
        <v>0</v>
      </c>
      <c r="AQ37" s="2" t="n">
        <f aca="false">IF(V37="ja",1,0)</f>
        <v>1</v>
      </c>
      <c r="AR37" s="2" t="n">
        <f aca="false">IF(W37="Bennett",1,IF(W37="meting",0.5,0))</f>
        <v>1</v>
      </c>
      <c r="AS37" s="2" t="n">
        <f aca="false">IF(X37="ja",1,0)</f>
        <v>0</v>
      </c>
      <c r="AT37" s="2" t="n">
        <f aca="false">Z37/5</f>
        <v>0.8</v>
      </c>
      <c r="AU37" s="2" t="n">
        <f aca="false">AA37/5</f>
        <v>0.8</v>
      </c>
    </row>
    <row r="38" customFormat="false" ht="77.6" hidden="false" customHeight="false" outlineLevel="0" collapsed="false">
      <c r="A38" s="2" t="s">
        <v>236</v>
      </c>
      <c r="B38" s="5" t="s">
        <v>237</v>
      </c>
      <c r="C38" s="6" t="s">
        <v>86</v>
      </c>
      <c r="D38" s="6" t="s">
        <v>87</v>
      </c>
      <c r="E38" s="6" t="s">
        <v>70</v>
      </c>
      <c r="F38" s="5" t="s">
        <v>223</v>
      </c>
      <c r="G38" s="6" t="s">
        <v>89</v>
      </c>
      <c r="H38" s="6" t="s">
        <v>76</v>
      </c>
      <c r="I38" s="6" t="s">
        <v>74</v>
      </c>
      <c r="J38" s="6" t="s">
        <v>90</v>
      </c>
      <c r="K38" s="6" t="n">
        <v>2</v>
      </c>
      <c r="L38" s="6" t="s">
        <v>76</v>
      </c>
      <c r="M38" s="6" t="s">
        <v>73</v>
      </c>
      <c r="N38" s="6" t="s">
        <v>73</v>
      </c>
      <c r="O38" s="6" t="s">
        <v>77</v>
      </c>
      <c r="P38" s="6" t="s">
        <v>78</v>
      </c>
      <c r="Q38" s="6" t="s">
        <v>74</v>
      </c>
      <c r="R38" s="6" t="s">
        <v>74</v>
      </c>
      <c r="S38" s="6" t="s">
        <v>74</v>
      </c>
      <c r="T38" s="6" t="s">
        <v>73</v>
      </c>
      <c r="U38" s="6" t="s">
        <v>76</v>
      </c>
      <c r="V38" s="6" t="s">
        <v>76</v>
      </c>
      <c r="W38" s="6" t="s">
        <v>105</v>
      </c>
      <c r="X38" s="6" t="s">
        <v>76</v>
      </c>
      <c r="Y38" s="6" t="s">
        <v>82</v>
      </c>
      <c r="Z38" s="6" t="n">
        <v>3</v>
      </c>
      <c r="AA38" s="6" t="n">
        <v>3</v>
      </c>
      <c r="AB38" s="6" t="n">
        <v>0</v>
      </c>
      <c r="AC38" s="6" t="n">
        <v>0</v>
      </c>
      <c r="AD38" s="6" t="s">
        <v>73</v>
      </c>
      <c r="AE38" s="6" t="s">
        <v>73</v>
      </c>
      <c r="AF38" s="5" t="s">
        <v>238</v>
      </c>
      <c r="AG38" s="3"/>
      <c r="AH38" s="2" t="n">
        <f aca="false">IF(H38="ja",1,0)</f>
        <v>0</v>
      </c>
      <c r="AI38" s="2" t="n">
        <f aca="false">IF(J38="schoon",1,IF(J38="vuil",0.5,0))</f>
        <v>0</v>
      </c>
      <c r="AJ38" s="2" t="n">
        <f aca="false">K38/5</f>
        <v>0.4</v>
      </c>
      <c r="AK38" s="2" t="n">
        <f aca="false">IF(L38="ja",1,0)</f>
        <v>0</v>
      </c>
      <c r="AL38" s="2" t="n">
        <f aca="false">IF(M38="ja",1,0)</f>
        <v>1</v>
      </c>
      <c r="AM38" s="2" t="n">
        <f aca="false">IF(N38="ja",1,0)</f>
        <v>1</v>
      </c>
      <c r="AN38" s="2" t="n">
        <f aca="false">IF(O38="exact",1,0)</f>
        <v>1</v>
      </c>
      <c r="AO38" s="2" t="n">
        <f aca="false">IF(T38="ja",1,0)</f>
        <v>1</v>
      </c>
      <c r="AP38" s="2" t="n">
        <f aca="false">IF(U38="ja",1,0)</f>
        <v>0</v>
      </c>
      <c r="AQ38" s="2" t="n">
        <f aca="false">IF(V38="ja",1,0)</f>
        <v>0</v>
      </c>
      <c r="AR38" s="2" t="n">
        <f aca="false">IF(W38="Bennett",1,IF(W38="meting",0.5,0))</f>
        <v>0.5</v>
      </c>
      <c r="AS38" s="2" t="n">
        <f aca="false">IF(X38="ja",1,0)</f>
        <v>0</v>
      </c>
      <c r="AT38" s="2" t="n">
        <f aca="false">Z38/5</f>
        <v>0.6</v>
      </c>
      <c r="AU38" s="2" t="n">
        <f aca="false">AA38/5</f>
        <v>0.6</v>
      </c>
    </row>
    <row r="39" customFormat="false" ht="52.2" hidden="false" customHeight="false" outlineLevel="0" collapsed="false">
      <c r="A39" s="2" t="s">
        <v>239</v>
      </c>
      <c r="B39" s="5" t="s">
        <v>240</v>
      </c>
      <c r="C39" s="6" t="s">
        <v>161</v>
      </c>
      <c r="D39" s="6" t="s">
        <v>162</v>
      </c>
      <c r="E39" s="6" t="s">
        <v>70</v>
      </c>
      <c r="F39" s="5" t="s">
        <v>241</v>
      </c>
      <c r="G39" s="6" t="s">
        <v>100</v>
      </c>
      <c r="H39" s="6" t="s">
        <v>73</v>
      </c>
      <c r="I39" s="6" t="s">
        <v>74</v>
      </c>
      <c r="J39" s="6" t="s">
        <v>75</v>
      </c>
      <c r="K39" s="6" t="n">
        <v>2</v>
      </c>
      <c r="L39" s="6" t="s">
        <v>76</v>
      </c>
      <c r="M39" s="6" t="s">
        <v>73</v>
      </c>
      <c r="N39" s="6" t="s">
        <v>76</v>
      </c>
      <c r="O39" s="6" t="s">
        <v>102</v>
      </c>
      <c r="P39" s="6" t="s">
        <v>103</v>
      </c>
      <c r="Q39" s="6" t="s">
        <v>80</v>
      </c>
      <c r="R39" s="6" t="s">
        <v>80</v>
      </c>
      <c r="S39" s="6" t="s">
        <v>80</v>
      </c>
      <c r="T39" s="6" t="s">
        <v>73</v>
      </c>
      <c r="U39" s="6" t="s">
        <v>76</v>
      </c>
      <c r="V39" s="6" t="s">
        <v>73</v>
      </c>
      <c r="W39" s="6" t="s">
        <v>81</v>
      </c>
      <c r="X39" s="6" t="s">
        <v>76</v>
      </c>
      <c r="Y39" s="6" t="s">
        <v>82</v>
      </c>
      <c r="Z39" s="6" t="n">
        <v>3</v>
      </c>
      <c r="AA39" s="6" t="n">
        <v>3</v>
      </c>
      <c r="AB39" s="6" t="n">
        <v>0</v>
      </c>
      <c r="AC39" s="6" t="n">
        <v>0</v>
      </c>
      <c r="AD39" s="6" t="s">
        <v>73</v>
      </c>
      <c r="AE39" s="6" t="s">
        <v>73</v>
      </c>
      <c r="AF39" s="5" t="s">
        <v>242</v>
      </c>
      <c r="AG39" s="3"/>
      <c r="AH39" s="2" t="n">
        <f aca="false">IF(H39="ja",1,0)</f>
        <v>1</v>
      </c>
      <c r="AI39" s="2" t="n">
        <f aca="false">IF(J39="schoon",1,IF(J39="vuil",0.5,0))</f>
        <v>1</v>
      </c>
      <c r="AJ39" s="2" t="n">
        <f aca="false">K39/5</f>
        <v>0.4</v>
      </c>
      <c r="AK39" s="2" t="n">
        <f aca="false">IF(L39="ja",1,0)</f>
        <v>0</v>
      </c>
      <c r="AL39" s="2" t="n">
        <f aca="false">IF(M39="ja",1,0)</f>
        <v>1</v>
      </c>
      <c r="AM39" s="2" t="n">
        <f aca="false">IF(N39="ja",1,0)</f>
        <v>0</v>
      </c>
      <c r="AN39" s="2" t="n">
        <f aca="false">IF(O39="exact",1,0)</f>
        <v>0</v>
      </c>
      <c r="AO39" s="2" t="n">
        <f aca="false">IF(T39="ja",1,0)</f>
        <v>1</v>
      </c>
      <c r="AP39" s="2" t="n">
        <f aca="false">IF(U39="ja",1,0)</f>
        <v>0</v>
      </c>
      <c r="AQ39" s="2" t="n">
        <f aca="false">IF(V39="ja",1,0)</f>
        <v>1</v>
      </c>
      <c r="AR39" s="2" t="n">
        <f aca="false">IF(W39="Bennett",1,IF(W39="meting",0.5,0))</f>
        <v>1</v>
      </c>
      <c r="AS39" s="2" t="n">
        <f aca="false">IF(X39="ja",1,0)</f>
        <v>0</v>
      </c>
      <c r="AT39" s="2" t="n">
        <f aca="false">Z39/5</f>
        <v>0.6</v>
      </c>
      <c r="AU39" s="2" t="n">
        <f aca="false">AA39/5</f>
        <v>0.6</v>
      </c>
    </row>
    <row r="40" customFormat="false" ht="115.65" hidden="false" customHeight="false" outlineLevel="0" collapsed="false">
      <c r="A40" s="2" t="s">
        <v>243</v>
      </c>
      <c r="B40" s="5" t="s">
        <v>244</v>
      </c>
      <c r="C40" s="6" t="s">
        <v>114</v>
      </c>
      <c r="D40" s="6" t="s">
        <v>115</v>
      </c>
      <c r="E40" s="6" t="s">
        <v>70</v>
      </c>
      <c r="F40" s="5" t="s">
        <v>245</v>
      </c>
      <c r="G40" s="6" t="s">
        <v>89</v>
      </c>
      <c r="H40" s="6" t="s">
        <v>76</v>
      </c>
      <c r="I40" s="6" t="s">
        <v>74</v>
      </c>
      <c r="J40" s="6" t="s">
        <v>90</v>
      </c>
      <c r="K40" s="6" t="n">
        <v>1</v>
      </c>
      <c r="L40" s="6" t="s">
        <v>76</v>
      </c>
      <c r="M40" s="6" t="s">
        <v>76</v>
      </c>
      <c r="N40" s="6" t="s">
        <v>76</v>
      </c>
      <c r="O40" s="6" t="s">
        <v>102</v>
      </c>
      <c r="P40" s="6" t="s">
        <v>103</v>
      </c>
      <c r="Q40" s="6" t="s">
        <v>74</v>
      </c>
      <c r="R40" s="6" t="s">
        <v>74</v>
      </c>
      <c r="S40" s="6" t="s">
        <v>74</v>
      </c>
      <c r="T40" s="6" t="s">
        <v>73</v>
      </c>
      <c r="U40" s="6" t="s">
        <v>76</v>
      </c>
      <c r="V40" s="6" t="s">
        <v>73</v>
      </c>
      <c r="W40" s="6" t="s">
        <v>90</v>
      </c>
      <c r="X40" s="6" t="s">
        <v>76</v>
      </c>
      <c r="Y40" s="6" t="s">
        <v>82</v>
      </c>
      <c r="Z40" s="6" t="n">
        <v>2</v>
      </c>
      <c r="AA40" s="6" t="n">
        <v>3</v>
      </c>
      <c r="AB40" s="6" t="n">
        <v>0</v>
      </c>
      <c r="AC40" s="6" t="n">
        <v>0</v>
      </c>
      <c r="AD40" s="6" t="s">
        <v>73</v>
      </c>
      <c r="AE40" s="6" t="s">
        <v>73</v>
      </c>
      <c r="AF40" s="5" t="s">
        <v>246</v>
      </c>
      <c r="AG40" s="3"/>
      <c r="AH40" s="2" t="n">
        <f aca="false">IF(H40="ja",1,0)</f>
        <v>0</v>
      </c>
      <c r="AI40" s="2" t="n">
        <f aca="false">IF(J40="schoon",1,IF(J40="vuil",0.5,0))</f>
        <v>0</v>
      </c>
      <c r="AJ40" s="2" t="n">
        <f aca="false">K40/5</f>
        <v>0.2</v>
      </c>
      <c r="AK40" s="2" t="n">
        <f aca="false">IF(L40="ja",1,0)</f>
        <v>0</v>
      </c>
      <c r="AL40" s="2" t="n">
        <f aca="false">IF(M40="ja",1,0)</f>
        <v>0</v>
      </c>
      <c r="AM40" s="2" t="n">
        <f aca="false">IF(N40="ja",1,0)</f>
        <v>0</v>
      </c>
      <c r="AN40" s="2" t="n">
        <f aca="false">IF(O40="exact",1,0)</f>
        <v>0</v>
      </c>
      <c r="AO40" s="2" t="n">
        <f aca="false">IF(T40="ja",1,0)</f>
        <v>1</v>
      </c>
      <c r="AP40" s="2" t="n">
        <f aca="false">IF(U40="ja",1,0)</f>
        <v>0</v>
      </c>
      <c r="AQ40" s="2" t="n">
        <f aca="false">IF(V40="ja",1,0)</f>
        <v>1</v>
      </c>
      <c r="AR40" s="2" t="n">
        <f aca="false">IF(W40="Bennett",1,IF(W40="meting",0.5,0))</f>
        <v>0</v>
      </c>
      <c r="AS40" s="2" t="n">
        <f aca="false">IF(X40="ja",1,0)</f>
        <v>0</v>
      </c>
      <c r="AT40" s="2" t="n">
        <f aca="false">Z40/5</f>
        <v>0.4</v>
      </c>
      <c r="AU40" s="2" t="n">
        <f aca="false">AA40/5</f>
        <v>0.6</v>
      </c>
    </row>
    <row r="41" customFormat="false" ht="102.95" hidden="false" customHeight="false" outlineLevel="0" collapsed="false">
      <c r="A41" s="2" t="s">
        <v>247</v>
      </c>
      <c r="B41" s="5" t="s">
        <v>248</v>
      </c>
      <c r="C41" s="6" t="s">
        <v>206</v>
      </c>
      <c r="D41" s="6" t="s">
        <v>87</v>
      </c>
      <c r="E41" s="6" t="s">
        <v>70</v>
      </c>
      <c r="F41" s="5" t="s">
        <v>249</v>
      </c>
      <c r="G41" s="6" t="s">
        <v>89</v>
      </c>
      <c r="H41" s="6" t="s">
        <v>76</v>
      </c>
      <c r="I41" s="6" t="s">
        <v>74</v>
      </c>
      <c r="J41" s="6" t="s">
        <v>90</v>
      </c>
      <c r="K41" s="6" t="n">
        <v>1</v>
      </c>
      <c r="L41" s="6" t="s">
        <v>76</v>
      </c>
      <c r="M41" s="6" t="s">
        <v>73</v>
      </c>
      <c r="N41" s="6" t="s">
        <v>76</v>
      </c>
      <c r="O41" s="6" t="s">
        <v>77</v>
      </c>
      <c r="P41" s="6" t="s">
        <v>78</v>
      </c>
      <c r="Q41" s="6" t="s">
        <v>74</v>
      </c>
      <c r="R41" s="6" t="s">
        <v>74</v>
      </c>
      <c r="S41" s="6" t="s">
        <v>74</v>
      </c>
      <c r="T41" s="6" t="s">
        <v>73</v>
      </c>
      <c r="U41" s="6" t="s">
        <v>76</v>
      </c>
      <c r="V41" s="6" t="s">
        <v>76</v>
      </c>
      <c r="W41" s="6" t="s">
        <v>105</v>
      </c>
      <c r="X41" s="6" t="s">
        <v>73</v>
      </c>
      <c r="Y41" s="6" t="s">
        <v>82</v>
      </c>
      <c r="Z41" s="6" t="n">
        <v>2</v>
      </c>
      <c r="AA41" s="6" t="n">
        <v>4</v>
      </c>
      <c r="AB41" s="6" t="n">
        <v>0</v>
      </c>
      <c r="AC41" s="6" t="n">
        <v>0</v>
      </c>
      <c r="AD41" s="6" t="s">
        <v>73</v>
      </c>
      <c r="AE41" s="6" t="s">
        <v>73</v>
      </c>
      <c r="AF41" s="5" t="s">
        <v>250</v>
      </c>
      <c r="AG41" s="3"/>
      <c r="AH41" s="2" t="n">
        <f aca="false">IF(H41="ja",1,0)</f>
        <v>0</v>
      </c>
      <c r="AI41" s="2" t="n">
        <f aca="false">IF(J41="schoon",1,IF(J41="vuil",0.5,0))</f>
        <v>0</v>
      </c>
      <c r="AJ41" s="2" t="n">
        <f aca="false">K41/5</f>
        <v>0.2</v>
      </c>
      <c r="AK41" s="2" t="n">
        <f aca="false">IF(L41="ja",1,0)</f>
        <v>0</v>
      </c>
      <c r="AL41" s="2" t="n">
        <f aca="false">IF(M41="ja",1,0)</f>
        <v>1</v>
      </c>
      <c r="AM41" s="2" t="n">
        <f aca="false">IF(N41="ja",1,0)</f>
        <v>0</v>
      </c>
      <c r="AN41" s="2" t="n">
        <f aca="false">IF(O41="exact",1,0)</f>
        <v>1</v>
      </c>
      <c r="AO41" s="2" t="n">
        <f aca="false">IF(T41="ja",1,0)</f>
        <v>1</v>
      </c>
      <c r="AP41" s="2" t="n">
        <f aca="false">IF(U41="ja",1,0)</f>
        <v>0</v>
      </c>
      <c r="AQ41" s="2" t="n">
        <f aca="false">IF(V41="ja",1,0)</f>
        <v>0</v>
      </c>
      <c r="AR41" s="2" t="n">
        <f aca="false">IF(W41="Bennett",1,IF(W41="meting",0.5,0))</f>
        <v>0.5</v>
      </c>
      <c r="AS41" s="2" t="n">
        <f aca="false">IF(X41="ja",1,0)</f>
        <v>1</v>
      </c>
      <c r="AT41" s="2" t="n">
        <f aca="false">Z41/5</f>
        <v>0.4</v>
      </c>
      <c r="AU41" s="2" t="n">
        <f aca="false">AA41/5</f>
        <v>0.8</v>
      </c>
    </row>
    <row r="42" customFormat="false" ht="77.6" hidden="false" customHeight="false" outlineLevel="0" collapsed="false">
      <c r="A42" s="2" t="s">
        <v>251</v>
      </c>
      <c r="B42" s="5" t="s">
        <v>252</v>
      </c>
      <c r="C42" s="6" t="s">
        <v>114</v>
      </c>
      <c r="D42" s="6" t="s">
        <v>115</v>
      </c>
      <c r="E42" s="6" t="s">
        <v>70</v>
      </c>
      <c r="F42" s="5" t="s">
        <v>253</v>
      </c>
      <c r="G42" s="6" t="s">
        <v>89</v>
      </c>
      <c r="H42" s="6" t="s">
        <v>76</v>
      </c>
      <c r="I42" s="6" t="s">
        <v>74</v>
      </c>
      <c r="J42" s="6" t="s">
        <v>90</v>
      </c>
      <c r="K42" s="6" t="n">
        <v>1</v>
      </c>
      <c r="L42" s="6" t="s">
        <v>76</v>
      </c>
      <c r="M42" s="6" t="s">
        <v>76</v>
      </c>
      <c r="N42" s="6" t="s">
        <v>76</v>
      </c>
      <c r="O42" s="6" t="s">
        <v>102</v>
      </c>
      <c r="P42" s="6" t="s">
        <v>103</v>
      </c>
      <c r="Q42" s="6" t="s">
        <v>74</v>
      </c>
      <c r="R42" s="6" t="s">
        <v>74</v>
      </c>
      <c r="S42" s="6" t="s">
        <v>74</v>
      </c>
      <c r="T42" s="6" t="s">
        <v>73</v>
      </c>
      <c r="U42" s="6" t="s">
        <v>76</v>
      </c>
      <c r="V42" s="6" t="s">
        <v>73</v>
      </c>
      <c r="W42" s="6" t="s">
        <v>90</v>
      </c>
      <c r="X42" s="6" t="s">
        <v>76</v>
      </c>
      <c r="Y42" s="6" t="s">
        <v>82</v>
      </c>
      <c r="Z42" s="6" t="n">
        <v>2</v>
      </c>
      <c r="AA42" s="6" t="n">
        <v>3</v>
      </c>
      <c r="AB42" s="6" t="s">
        <v>74</v>
      </c>
      <c r="AC42" s="6" t="s">
        <v>74</v>
      </c>
      <c r="AD42" s="6" t="s">
        <v>76</v>
      </c>
      <c r="AE42" s="6" t="s">
        <v>73</v>
      </c>
      <c r="AF42" s="5" t="s">
        <v>254</v>
      </c>
      <c r="AG42" s="3"/>
      <c r="AH42" s="2" t="n">
        <f aca="false">IF(H42="ja",1,0)</f>
        <v>0</v>
      </c>
      <c r="AI42" s="2" t="n">
        <f aca="false">IF(J42="schoon",1,IF(J42="vuil",0.5,0))</f>
        <v>0</v>
      </c>
      <c r="AJ42" s="2" t="n">
        <f aca="false">K42/5</f>
        <v>0.2</v>
      </c>
      <c r="AK42" s="2" t="n">
        <f aca="false">IF(L42="ja",1,0)</f>
        <v>0</v>
      </c>
      <c r="AL42" s="2" t="n">
        <f aca="false">IF(M42="ja",1,0)</f>
        <v>0</v>
      </c>
      <c r="AM42" s="2" t="n">
        <f aca="false">IF(N42="ja",1,0)</f>
        <v>0</v>
      </c>
      <c r="AN42" s="2" t="n">
        <f aca="false">IF(O42="exact",1,0)</f>
        <v>0</v>
      </c>
      <c r="AO42" s="2" t="n">
        <f aca="false">IF(T42="ja",1,0)</f>
        <v>1</v>
      </c>
      <c r="AP42" s="2" t="n">
        <f aca="false">IF(U42="ja",1,0)</f>
        <v>0</v>
      </c>
      <c r="AQ42" s="2" t="n">
        <f aca="false">IF(V42="ja",1,0)</f>
        <v>1</v>
      </c>
      <c r="AR42" s="2" t="n">
        <f aca="false">IF(W42="Bennett",1,IF(W42="meting",0.5,0))</f>
        <v>0</v>
      </c>
      <c r="AS42" s="2" t="n">
        <f aca="false">IF(X42="ja",1,0)</f>
        <v>0</v>
      </c>
      <c r="AT42" s="2" t="n">
        <f aca="false">Z42/5</f>
        <v>0.4</v>
      </c>
      <c r="AU42" s="2" t="n">
        <f aca="false">AA42/5</f>
        <v>0.6</v>
      </c>
    </row>
    <row r="43" customFormat="false" ht="90.25" hidden="false" customHeight="false" outlineLevel="0" collapsed="false">
      <c r="A43" s="2" t="s">
        <v>255</v>
      </c>
      <c r="B43" s="5" t="s">
        <v>256</v>
      </c>
      <c r="C43" s="6" t="s">
        <v>151</v>
      </c>
      <c r="D43" s="6" t="s">
        <v>152</v>
      </c>
      <c r="E43" s="6" t="s">
        <v>70</v>
      </c>
      <c r="F43" s="5" t="s">
        <v>257</v>
      </c>
      <c r="G43" s="6" t="s">
        <v>89</v>
      </c>
      <c r="H43" s="6" t="s">
        <v>76</v>
      </c>
      <c r="I43" s="6" t="s">
        <v>74</v>
      </c>
      <c r="J43" s="6" t="s">
        <v>90</v>
      </c>
      <c r="K43" s="6" t="n">
        <v>1</v>
      </c>
      <c r="L43" s="6" t="s">
        <v>76</v>
      </c>
      <c r="M43" s="6" t="s">
        <v>73</v>
      </c>
      <c r="N43" s="6" t="s">
        <v>76</v>
      </c>
      <c r="O43" s="6" t="s">
        <v>102</v>
      </c>
      <c r="P43" s="6" t="s">
        <v>103</v>
      </c>
      <c r="Q43" s="6" t="s">
        <v>80</v>
      </c>
      <c r="R43" s="6" t="s">
        <v>104</v>
      </c>
      <c r="S43" s="6" t="s">
        <v>80</v>
      </c>
      <c r="T43" s="6" t="s">
        <v>73</v>
      </c>
      <c r="U43" s="6" t="s">
        <v>76</v>
      </c>
      <c r="V43" s="6" t="s">
        <v>76</v>
      </c>
      <c r="W43" s="6" t="s">
        <v>105</v>
      </c>
      <c r="X43" s="6" t="s">
        <v>76</v>
      </c>
      <c r="Y43" s="6" t="s">
        <v>153</v>
      </c>
      <c r="Z43" s="6" t="n">
        <v>3</v>
      </c>
      <c r="AA43" s="6" t="n">
        <v>4</v>
      </c>
      <c r="AB43" s="6" t="n">
        <v>0</v>
      </c>
      <c r="AC43" s="6" t="n">
        <v>0</v>
      </c>
      <c r="AD43" s="6" t="s">
        <v>73</v>
      </c>
      <c r="AE43" s="6" t="s">
        <v>73</v>
      </c>
      <c r="AF43" s="5" t="s">
        <v>258</v>
      </c>
      <c r="AG43" s="3"/>
      <c r="AH43" s="2" t="n">
        <f aca="false">IF(H43="ja",1,0)</f>
        <v>0</v>
      </c>
      <c r="AI43" s="2" t="n">
        <f aca="false">IF(J43="schoon",1,IF(J43="vuil",0.5,0))</f>
        <v>0</v>
      </c>
      <c r="AJ43" s="2" t="n">
        <f aca="false">K43/5</f>
        <v>0.2</v>
      </c>
      <c r="AK43" s="2" t="n">
        <f aca="false">IF(L43="ja",1,0)</f>
        <v>0</v>
      </c>
      <c r="AL43" s="2" t="n">
        <f aca="false">IF(M43="ja",1,0)</f>
        <v>1</v>
      </c>
      <c r="AM43" s="2" t="n">
        <f aca="false">IF(N43="ja",1,0)</f>
        <v>0</v>
      </c>
      <c r="AN43" s="2" t="n">
        <f aca="false">IF(O43="exact",1,0)</f>
        <v>0</v>
      </c>
      <c r="AO43" s="2" t="n">
        <f aca="false">IF(T43="ja",1,0)</f>
        <v>1</v>
      </c>
      <c r="AP43" s="2" t="n">
        <f aca="false">IF(U43="ja",1,0)</f>
        <v>0</v>
      </c>
      <c r="AQ43" s="2" t="n">
        <f aca="false">IF(V43="ja",1,0)</f>
        <v>0</v>
      </c>
      <c r="AR43" s="2" t="n">
        <f aca="false">IF(W43="Bennett",1,IF(W43="meting",0.5,0))</f>
        <v>0.5</v>
      </c>
      <c r="AS43" s="2" t="n">
        <f aca="false">IF(X43="ja",1,0)</f>
        <v>0</v>
      </c>
      <c r="AT43" s="2" t="n">
        <f aca="false">Z43/5</f>
        <v>0.6</v>
      </c>
      <c r="AU43" s="2" t="n">
        <f aca="false">AA43/5</f>
        <v>0.8</v>
      </c>
    </row>
    <row r="44" customFormat="false" ht="64.9" hidden="false" customHeight="false" outlineLevel="0" collapsed="false">
      <c r="A44" s="2" t="s">
        <v>259</v>
      </c>
      <c r="B44" s="5" t="s">
        <v>260</v>
      </c>
      <c r="C44" s="6" t="s">
        <v>151</v>
      </c>
      <c r="D44" s="6" t="s">
        <v>152</v>
      </c>
      <c r="E44" s="6" t="s">
        <v>70</v>
      </c>
      <c r="F44" s="5" t="s">
        <v>261</v>
      </c>
      <c r="G44" s="6" t="s">
        <v>89</v>
      </c>
      <c r="H44" s="6" t="s">
        <v>76</v>
      </c>
      <c r="I44" s="6" t="s">
        <v>74</v>
      </c>
      <c r="J44" s="6" t="s">
        <v>90</v>
      </c>
      <c r="K44" s="6" t="n">
        <v>1</v>
      </c>
      <c r="L44" s="6" t="s">
        <v>76</v>
      </c>
      <c r="M44" s="6" t="s">
        <v>76</v>
      </c>
      <c r="N44" s="6" t="s">
        <v>76</v>
      </c>
      <c r="O44" s="6" t="s">
        <v>77</v>
      </c>
      <c r="P44" s="6" t="s">
        <v>78</v>
      </c>
      <c r="Q44" s="6" t="s">
        <v>80</v>
      </c>
      <c r="R44" s="6" t="s">
        <v>104</v>
      </c>
      <c r="S44" s="6" t="s">
        <v>80</v>
      </c>
      <c r="T44" s="6" t="s">
        <v>73</v>
      </c>
      <c r="U44" s="6" t="s">
        <v>76</v>
      </c>
      <c r="V44" s="6" t="s">
        <v>76</v>
      </c>
      <c r="W44" s="6" t="s">
        <v>105</v>
      </c>
      <c r="X44" s="6" t="s">
        <v>76</v>
      </c>
      <c r="Y44" s="6" t="s">
        <v>153</v>
      </c>
      <c r="Z44" s="6" t="n">
        <v>3</v>
      </c>
      <c r="AA44" s="6" t="n">
        <v>4</v>
      </c>
      <c r="AB44" s="6" t="s">
        <v>74</v>
      </c>
      <c r="AC44" s="6" t="s">
        <v>74</v>
      </c>
      <c r="AD44" s="6" t="s">
        <v>107</v>
      </c>
      <c r="AE44" s="6" t="s">
        <v>73</v>
      </c>
      <c r="AF44" s="5" t="s">
        <v>262</v>
      </c>
      <c r="AG44" s="3"/>
      <c r="AH44" s="2" t="n">
        <f aca="false">IF(H44="ja",1,0)</f>
        <v>0</v>
      </c>
      <c r="AI44" s="2" t="n">
        <f aca="false">IF(J44="schoon",1,IF(J44="vuil",0.5,0))</f>
        <v>0</v>
      </c>
      <c r="AJ44" s="2" t="n">
        <f aca="false">K44/5</f>
        <v>0.2</v>
      </c>
      <c r="AK44" s="2" t="n">
        <f aca="false">IF(L44="ja",1,0)</f>
        <v>0</v>
      </c>
      <c r="AL44" s="2" t="n">
        <f aca="false">IF(M44="ja",1,0)</f>
        <v>0</v>
      </c>
      <c r="AM44" s="2" t="n">
        <f aca="false">IF(N44="ja",1,0)</f>
        <v>0</v>
      </c>
      <c r="AN44" s="2" t="n">
        <f aca="false">IF(O44="exact",1,0)</f>
        <v>1</v>
      </c>
      <c r="AO44" s="2" t="n">
        <f aca="false">IF(T44="ja",1,0)</f>
        <v>1</v>
      </c>
      <c r="AP44" s="2" t="n">
        <f aca="false">IF(U44="ja",1,0)</f>
        <v>0</v>
      </c>
      <c r="AQ44" s="2" t="n">
        <f aca="false">IF(V44="ja",1,0)</f>
        <v>0</v>
      </c>
      <c r="AR44" s="2" t="n">
        <f aca="false">IF(W44="Bennett",1,IF(W44="meting",0.5,0))</f>
        <v>0.5</v>
      </c>
      <c r="AS44" s="2" t="n">
        <f aca="false">IF(X44="ja",1,0)</f>
        <v>0</v>
      </c>
      <c r="AT44" s="2" t="n">
        <f aca="false">Z44/5</f>
        <v>0.6</v>
      </c>
      <c r="AU44" s="2" t="n">
        <f aca="false">AA44/5</f>
        <v>0.8</v>
      </c>
    </row>
    <row r="45" customFormat="false" ht="64.9" hidden="false" customHeight="false" outlineLevel="0" collapsed="false">
      <c r="A45" s="2" t="s">
        <v>263</v>
      </c>
      <c r="B45" s="5" t="s">
        <v>264</v>
      </c>
      <c r="C45" s="6" t="s">
        <v>151</v>
      </c>
      <c r="D45" s="6" t="s">
        <v>152</v>
      </c>
      <c r="E45" s="6" t="s">
        <v>70</v>
      </c>
      <c r="F45" s="5" t="s">
        <v>265</v>
      </c>
      <c r="G45" s="6" t="s">
        <v>89</v>
      </c>
      <c r="H45" s="6" t="s">
        <v>76</v>
      </c>
      <c r="I45" s="6" t="s">
        <v>74</v>
      </c>
      <c r="J45" s="6" t="s">
        <v>90</v>
      </c>
      <c r="K45" s="6" t="n">
        <v>1</v>
      </c>
      <c r="L45" s="6" t="s">
        <v>76</v>
      </c>
      <c r="M45" s="6" t="s">
        <v>73</v>
      </c>
      <c r="N45" s="6" t="s">
        <v>76</v>
      </c>
      <c r="O45" s="6" t="s">
        <v>102</v>
      </c>
      <c r="P45" s="6" t="s">
        <v>103</v>
      </c>
      <c r="Q45" s="6" t="s">
        <v>80</v>
      </c>
      <c r="R45" s="6" t="s">
        <v>104</v>
      </c>
      <c r="S45" s="6" t="s">
        <v>80</v>
      </c>
      <c r="T45" s="6" t="s">
        <v>73</v>
      </c>
      <c r="U45" s="6" t="s">
        <v>76</v>
      </c>
      <c r="V45" s="6" t="s">
        <v>76</v>
      </c>
      <c r="W45" s="6" t="s">
        <v>105</v>
      </c>
      <c r="X45" s="6" t="s">
        <v>76</v>
      </c>
      <c r="Y45" s="6" t="s">
        <v>153</v>
      </c>
      <c r="Z45" s="6" t="n">
        <v>3</v>
      </c>
      <c r="AA45" s="6" t="n">
        <v>4</v>
      </c>
      <c r="AB45" s="6" t="n">
        <v>0</v>
      </c>
      <c r="AC45" s="6" t="n">
        <v>0</v>
      </c>
      <c r="AD45" s="6" t="s">
        <v>73</v>
      </c>
      <c r="AE45" s="6" t="s">
        <v>73</v>
      </c>
      <c r="AF45" s="5" t="s">
        <v>266</v>
      </c>
      <c r="AG45" s="3"/>
      <c r="AH45" s="2" t="n">
        <f aca="false">IF(H45="ja",1,0)</f>
        <v>0</v>
      </c>
      <c r="AI45" s="2" t="n">
        <f aca="false">IF(J45="schoon",1,IF(J45="vuil",0.5,0))</f>
        <v>0</v>
      </c>
      <c r="AJ45" s="2" t="n">
        <f aca="false">K45/5</f>
        <v>0.2</v>
      </c>
      <c r="AK45" s="2" t="n">
        <f aca="false">IF(L45="ja",1,0)</f>
        <v>0</v>
      </c>
      <c r="AL45" s="2" t="n">
        <f aca="false">IF(M45="ja",1,0)</f>
        <v>1</v>
      </c>
      <c r="AM45" s="2" t="n">
        <f aca="false">IF(N45="ja",1,0)</f>
        <v>0</v>
      </c>
      <c r="AN45" s="2" t="n">
        <f aca="false">IF(O45="exact",1,0)</f>
        <v>0</v>
      </c>
      <c r="AO45" s="2" t="n">
        <f aca="false">IF(T45="ja",1,0)</f>
        <v>1</v>
      </c>
      <c r="AP45" s="2" t="n">
        <f aca="false">IF(U45="ja",1,0)</f>
        <v>0</v>
      </c>
      <c r="AQ45" s="2" t="n">
        <f aca="false">IF(V45="ja",1,0)</f>
        <v>0</v>
      </c>
      <c r="AR45" s="2" t="n">
        <f aca="false">IF(W45="Bennett",1,IF(W45="meting",0.5,0))</f>
        <v>0.5</v>
      </c>
      <c r="AS45" s="2" t="n">
        <f aca="false">IF(X45="ja",1,0)</f>
        <v>0</v>
      </c>
      <c r="AT45" s="2" t="n">
        <f aca="false">Z45/5</f>
        <v>0.6</v>
      </c>
      <c r="AU45" s="2" t="n">
        <f aca="false">AA45/5</f>
        <v>0.8</v>
      </c>
    </row>
    <row r="46" customFormat="false" ht="64.9" hidden="false" customHeight="false" outlineLevel="0" collapsed="false">
      <c r="A46" s="2" t="s">
        <v>267</v>
      </c>
      <c r="B46" s="5" t="s">
        <v>268</v>
      </c>
      <c r="C46" s="6" t="s">
        <v>173</v>
      </c>
      <c r="D46" s="6" t="s">
        <v>87</v>
      </c>
      <c r="E46" s="6" t="s">
        <v>70</v>
      </c>
      <c r="F46" s="5" t="s">
        <v>269</v>
      </c>
      <c r="G46" s="6" t="s">
        <v>89</v>
      </c>
      <c r="H46" s="6" t="s">
        <v>73</v>
      </c>
      <c r="I46" s="6" t="s">
        <v>74</v>
      </c>
      <c r="J46" s="6" t="s">
        <v>75</v>
      </c>
      <c r="K46" s="6" t="n">
        <v>2</v>
      </c>
      <c r="L46" s="6" t="s">
        <v>76</v>
      </c>
      <c r="M46" s="6" t="s">
        <v>76</v>
      </c>
      <c r="N46" s="6" t="s">
        <v>76</v>
      </c>
      <c r="O46" s="6" t="s">
        <v>77</v>
      </c>
      <c r="P46" s="6" t="s">
        <v>78</v>
      </c>
      <c r="Q46" s="6" t="s">
        <v>80</v>
      </c>
      <c r="R46" s="6" t="s">
        <v>80</v>
      </c>
      <c r="S46" s="6" t="s">
        <v>80</v>
      </c>
      <c r="T46" s="6" t="s">
        <v>73</v>
      </c>
      <c r="U46" s="6" t="s">
        <v>76</v>
      </c>
      <c r="V46" s="6" t="s">
        <v>76</v>
      </c>
      <c r="W46" s="6" t="s">
        <v>105</v>
      </c>
      <c r="X46" s="6" t="s">
        <v>76</v>
      </c>
      <c r="Y46" s="6" t="s">
        <v>82</v>
      </c>
      <c r="Z46" s="6" t="n">
        <v>2</v>
      </c>
      <c r="AA46" s="6" t="n">
        <v>5</v>
      </c>
      <c r="AB46" s="6" t="n">
        <v>0</v>
      </c>
      <c r="AC46" s="6" t="n">
        <v>0</v>
      </c>
      <c r="AD46" s="6" t="s">
        <v>73</v>
      </c>
      <c r="AE46" s="6" t="s">
        <v>73</v>
      </c>
      <c r="AF46" s="5" t="s">
        <v>270</v>
      </c>
      <c r="AG46" s="3"/>
      <c r="AH46" s="2" t="n">
        <f aca="false">IF(H46="ja",1,0)</f>
        <v>1</v>
      </c>
      <c r="AI46" s="2" t="n">
        <f aca="false">IF(J46="schoon",1,IF(J46="vuil",0.5,0))</f>
        <v>1</v>
      </c>
      <c r="AJ46" s="2" t="n">
        <f aca="false">K46/5</f>
        <v>0.4</v>
      </c>
      <c r="AK46" s="2" t="n">
        <f aca="false">IF(L46="ja",1,0)</f>
        <v>0</v>
      </c>
      <c r="AL46" s="2" t="n">
        <f aca="false">IF(M46="ja",1,0)</f>
        <v>0</v>
      </c>
      <c r="AM46" s="2" t="n">
        <f aca="false">IF(N46="ja",1,0)</f>
        <v>0</v>
      </c>
      <c r="AN46" s="2" t="n">
        <f aca="false">IF(O46="exact",1,0)</f>
        <v>1</v>
      </c>
      <c r="AO46" s="2" t="n">
        <f aca="false">IF(T46="ja",1,0)</f>
        <v>1</v>
      </c>
      <c r="AP46" s="2" t="n">
        <f aca="false">IF(U46="ja",1,0)</f>
        <v>0</v>
      </c>
      <c r="AQ46" s="2" t="n">
        <f aca="false">IF(V46="ja",1,0)</f>
        <v>0</v>
      </c>
      <c r="AR46" s="2" t="n">
        <f aca="false">IF(W46="Bennett",1,IF(W46="meting",0.5,0))</f>
        <v>0.5</v>
      </c>
      <c r="AS46" s="2" t="n">
        <f aca="false">IF(X46="ja",1,0)</f>
        <v>0</v>
      </c>
      <c r="AT46" s="2" t="n">
        <f aca="false">Z46/5</f>
        <v>0.4</v>
      </c>
      <c r="AU46" s="2" t="n">
        <f aca="false">AA46/5</f>
        <v>1</v>
      </c>
    </row>
    <row r="47" customFormat="false" ht="77.6" hidden="false" customHeight="false" outlineLevel="0" collapsed="false">
      <c r="A47" s="2" t="s">
        <v>271</v>
      </c>
      <c r="B47" s="5" t="s">
        <v>272</v>
      </c>
      <c r="C47" s="6" t="s">
        <v>114</v>
      </c>
      <c r="D47" s="6" t="s">
        <v>115</v>
      </c>
      <c r="E47" s="6" t="s">
        <v>70</v>
      </c>
      <c r="F47" s="5" t="s">
        <v>273</v>
      </c>
      <c r="G47" s="6" t="s">
        <v>89</v>
      </c>
      <c r="H47" s="6" t="s">
        <v>76</v>
      </c>
      <c r="I47" s="6" t="s">
        <v>74</v>
      </c>
      <c r="J47" s="6" t="s">
        <v>90</v>
      </c>
      <c r="K47" s="6" t="n">
        <v>1</v>
      </c>
      <c r="L47" s="6" t="s">
        <v>76</v>
      </c>
      <c r="M47" s="6" t="s">
        <v>76</v>
      </c>
      <c r="N47" s="6" t="s">
        <v>76</v>
      </c>
      <c r="O47" s="6" t="s">
        <v>102</v>
      </c>
      <c r="P47" s="6" t="s">
        <v>103</v>
      </c>
      <c r="Q47" s="6" t="s">
        <v>74</v>
      </c>
      <c r="R47" s="6" t="s">
        <v>74</v>
      </c>
      <c r="S47" s="6" t="s">
        <v>74</v>
      </c>
      <c r="T47" s="6" t="s">
        <v>73</v>
      </c>
      <c r="U47" s="6" t="s">
        <v>76</v>
      </c>
      <c r="V47" s="6" t="s">
        <v>73</v>
      </c>
      <c r="W47" s="6" t="s">
        <v>90</v>
      </c>
      <c r="X47" s="6" t="s">
        <v>76</v>
      </c>
      <c r="Y47" s="6" t="s">
        <v>82</v>
      </c>
      <c r="Z47" s="6" t="n">
        <v>2</v>
      </c>
      <c r="AA47" s="6" t="n">
        <v>3</v>
      </c>
      <c r="AB47" s="6" t="n">
        <v>0</v>
      </c>
      <c r="AC47" s="6" t="n">
        <v>0</v>
      </c>
      <c r="AD47" s="6" t="s">
        <v>73</v>
      </c>
      <c r="AE47" s="6" t="s">
        <v>73</v>
      </c>
      <c r="AF47" s="5" t="s">
        <v>274</v>
      </c>
      <c r="AG47" s="3"/>
      <c r="AH47" s="2" t="n">
        <f aca="false">IF(H47="ja",1,0)</f>
        <v>0</v>
      </c>
      <c r="AI47" s="2" t="n">
        <f aca="false">IF(J47="schoon",1,IF(J47="vuil",0.5,0))</f>
        <v>0</v>
      </c>
      <c r="AJ47" s="2" t="n">
        <f aca="false">K47/5</f>
        <v>0.2</v>
      </c>
      <c r="AK47" s="2" t="n">
        <f aca="false">IF(L47="ja",1,0)</f>
        <v>0</v>
      </c>
      <c r="AL47" s="2" t="n">
        <f aca="false">IF(M47="ja",1,0)</f>
        <v>0</v>
      </c>
      <c r="AM47" s="2" t="n">
        <f aca="false">IF(N47="ja",1,0)</f>
        <v>0</v>
      </c>
      <c r="AN47" s="2" t="n">
        <f aca="false">IF(O47="exact",1,0)</f>
        <v>0</v>
      </c>
      <c r="AO47" s="2" t="n">
        <f aca="false">IF(T47="ja",1,0)</f>
        <v>1</v>
      </c>
      <c r="AP47" s="2" t="n">
        <f aca="false">IF(U47="ja",1,0)</f>
        <v>0</v>
      </c>
      <c r="AQ47" s="2" t="n">
        <f aca="false">IF(V47="ja",1,0)</f>
        <v>1</v>
      </c>
      <c r="AR47" s="2" t="n">
        <f aca="false">IF(W47="Bennett",1,IF(W47="meting",0.5,0))</f>
        <v>0</v>
      </c>
      <c r="AS47" s="2" t="n">
        <f aca="false">IF(X47="ja",1,0)</f>
        <v>0</v>
      </c>
      <c r="AT47" s="2" t="n">
        <f aca="false">Z47/5</f>
        <v>0.4</v>
      </c>
      <c r="AU47" s="2" t="n">
        <f aca="false">AA47/5</f>
        <v>0.6</v>
      </c>
    </row>
    <row r="48" customFormat="false" ht="90.25" hidden="false" customHeight="false" outlineLevel="0" collapsed="false">
      <c r="A48" s="2" t="s">
        <v>275</v>
      </c>
      <c r="B48" s="5" t="s">
        <v>276</v>
      </c>
      <c r="C48" s="6" t="s">
        <v>151</v>
      </c>
      <c r="D48" s="6" t="s">
        <v>152</v>
      </c>
      <c r="E48" s="6" t="s">
        <v>70</v>
      </c>
      <c r="F48" s="5" t="s">
        <v>277</v>
      </c>
      <c r="G48" s="6" t="s">
        <v>89</v>
      </c>
      <c r="H48" s="6" t="s">
        <v>76</v>
      </c>
      <c r="I48" s="6" t="s">
        <v>74</v>
      </c>
      <c r="J48" s="6" t="s">
        <v>90</v>
      </c>
      <c r="K48" s="6" t="n">
        <v>1</v>
      </c>
      <c r="L48" s="6" t="s">
        <v>76</v>
      </c>
      <c r="M48" s="6" t="s">
        <v>73</v>
      </c>
      <c r="N48" s="6" t="s">
        <v>73</v>
      </c>
      <c r="O48" s="6" t="s">
        <v>77</v>
      </c>
      <c r="P48" s="6" t="s">
        <v>78</v>
      </c>
      <c r="Q48" s="6" t="s">
        <v>80</v>
      </c>
      <c r="R48" s="6" t="s">
        <v>104</v>
      </c>
      <c r="S48" s="6" t="s">
        <v>80</v>
      </c>
      <c r="T48" s="6" t="s">
        <v>73</v>
      </c>
      <c r="U48" s="6" t="s">
        <v>76</v>
      </c>
      <c r="V48" s="6" t="s">
        <v>76</v>
      </c>
      <c r="W48" s="6" t="s">
        <v>105</v>
      </c>
      <c r="X48" s="6" t="s">
        <v>76</v>
      </c>
      <c r="Y48" s="6" t="s">
        <v>153</v>
      </c>
      <c r="Z48" s="6" t="n">
        <v>3</v>
      </c>
      <c r="AA48" s="6" t="n">
        <v>4</v>
      </c>
      <c r="AB48" s="6" t="n">
        <v>0</v>
      </c>
      <c r="AC48" s="6" t="n">
        <v>0</v>
      </c>
      <c r="AD48" s="6" t="s">
        <v>73</v>
      </c>
      <c r="AE48" s="6" t="s">
        <v>73</v>
      </c>
      <c r="AF48" s="5" t="s">
        <v>278</v>
      </c>
      <c r="AG48" s="3"/>
      <c r="AH48" s="2" t="n">
        <f aca="false">IF(H48="ja",1,0)</f>
        <v>0</v>
      </c>
      <c r="AI48" s="2" t="n">
        <f aca="false">IF(J48="schoon",1,IF(J48="vuil",0.5,0))</f>
        <v>0</v>
      </c>
      <c r="AJ48" s="2" t="n">
        <f aca="false">K48/5</f>
        <v>0.2</v>
      </c>
      <c r="AK48" s="2" t="n">
        <f aca="false">IF(L48="ja",1,0)</f>
        <v>0</v>
      </c>
      <c r="AL48" s="2" t="n">
        <f aca="false">IF(M48="ja",1,0)</f>
        <v>1</v>
      </c>
      <c r="AM48" s="2" t="n">
        <f aca="false">IF(N48="ja",1,0)</f>
        <v>1</v>
      </c>
      <c r="AN48" s="2" t="n">
        <f aca="false">IF(O48="exact",1,0)</f>
        <v>1</v>
      </c>
      <c r="AO48" s="2" t="n">
        <f aca="false">IF(T48="ja",1,0)</f>
        <v>1</v>
      </c>
      <c r="AP48" s="2" t="n">
        <f aca="false">IF(U48="ja",1,0)</f>
        <v>0</v>
      </c>
      <c r="AQ48" s="2" t="n">
        <f aca="false">IF(V48="ja",1,0)</f>
        <v>0</v>
      </c>
      <c r="AR48" s="2" t="n">
        <f aca="false">IF(W48="Bennett",1,IF(W48="meting",0.5,0))</f>
        <v>0.5</v>
      </c>
      <c r="AS48" s="2" t="n">
        <f aca="false">IF(X48="ja",1,0)</f>
        <v>0</v>
      </c>
      <c r="AT48" s="2" t="n">
        <f aca="false">Z48/5</f>
        <v>0.6</v>
      </c>
      <c r="AU48" s="2" t="n">
        <f aca="false">AA48/5</f>
        <v>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2" min="2" style="0" width="42"/>
    <col collapsed="false" customWidth="true" hidden="false" outlineLevel="0" max="4" min="3" style="0" width="16"/>
    <col collapsed="false" customWidth="true" hidden="false" outlineLevel="0" max="5" min="5" style="0" width="7"/>
    <col collapsed="false" customWidth="true" hidden="false" outlineLevel="0" max="6" min="6" style="0" width="34"/>
    <col collapsed="false" customWidth="true" hidden="false" outlineLevel="0" max="31" min="7" style="0" width="12"/>
    <col collapsed="false" customWidth="true" hidden="false" outlineLevel="0" max="32" min="32" style="0" width="70"/>
    <col collapsed="false" customWidth="true" hidden="false" outlineLevel="0" max="47" min="33" style="0" width="12"/>
  </cols>
  <sheetData>
    <row r="1" customFormat="false" ht="15" hidden="false" customHeight="false" outlineLevel="0" collapsed="false">
      <c r="A1" s="1" t="s">
        <v>279</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row>
    <row r="2" customFormat="false" ht="15" hidden="false" customHeight="false" outlineLevel="0" collapsed="false">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row>
    <row r="3" customFormat="false" ht="52.2" hidden="false" customHeight="false" outlineLevel="0" collapsed="false">
      <c r="A3" s="4" t="s">
        <v>20</v>
      </c>
      <c r="B3" s="4" t="s">
        <v>21</v>
      </c>
      <c r="C3" s="4" t="s">
        <v>22</v>
      </c>
      <c r="D3" s="4" t="s">
        <v>23</v>
      </c>
      <c r="E3" s="4" t="s">
        <v>24</v>
      </c>
      <c r="F3" s="4" t="s">
        <v>25</v>
      </c>
      <c r="G3" s="4" t="s">
        <v>26</v>
      </c>
      <c r="H3" s="4" t="s">
        <v>27</v>
      </c>
      <c r="I3" s="4" t="s">
        <v>28</v>
      </c>
      <c r="J3" s="4" t="s">
        <v>29</v>
      </c>
      <c r="K3" s="4" t="s">
        <v>30</v>
      </c>
      <c r="L3" s="4" t="s">
        <v>31</v>
      </c>
      <c r="M3" s="4" t="s">
        <v>32</v>
      </c>
      <c r="N3" s="4" t="s">
        <v>33</v>
      </c>
      <c r="O3" s="4" t="s">
        <v>34</v>
      </c>
      <c r="P3" s="4" t="s">
        <v>35</v>
      </c>
      <c r="Q3" s="4" t="s">
        <v>36</v>
      </c>
      <c r="R3" s="4" t="s">
        <v>37</v>
      </c>
      <c r="S3" s="4" t="s">
        <v>38</v>
      </c>
      <c r="T3" s="4" t="s">
        <v>39</v>
      </c>
      <c r="U3" s="4" t="s">
        <v>40</v>
      </c>
      <c r="V3" s="4" t="s">
        <v>41</v>
      </c>
      <c r="W3" s="4" t="s">
        <v>42</v>
      </c>
      <c r="X3" s="4" t="s">
        <v>43</v>
      </c>
      <c r="Y3" s="4" t="s">
        <v>44</v>
      </c>
      <c r="Z3" s="4" t="s">
        <v>45</v>
      </c>
      <c r="AA3" s="4" t="s">
        <v>46</v>
      </c>
      <c r="AB3" s="4" t="s">
        <v>47</v>
      </c>
      <c r="AC3" s="4" t="s">
        <v>48</v>
      </c>
      <c r="AD3" s="4" t="s">
        <v>49</v>
      </c>
      <c r="AE3" s="4" t="s">
        <v>50</v>
      </c>
      <c r="AF3" s="4" t="s">
        <v>51</v>
      </c>
      <c r="AG3" s="4"/>
      <c r="AH3" s="4" t="s">
        <v>52</v>
      </c>
      <c r="AI3" s="4" t="s">
        <v>53</v>
      </c>
      <c r="AJ3" s="4" t="s">
        <v>54</v>
      </c>
      <c r="AK3" s="4" t="s">
        <v>55</v>
      </c>
      <c r="AL3" s="4" t="s">
        <v>56</v>
      </c>
      <c r="AM3" s="4" t="s">
        <v>57</v>
      </c>
      <c r="AN3" s="4" t="s">
        <v>58</v>
      </c>
      <c r="AO3" s="4" t="s">
        <v>59</v>
      </c>
      <c r="AP3" s="4" t="s">
        <v>60</v>
      </c>
      <c r="AQ3" s="4" t="s">
        <v>61</v>
      </c>
      <c r="AR3" s="4" t="s">
        <v>62</v>
      </c>
      <c r="AS3" s="4" t="s">
        <v>63</v>
      </c>
      <c r="AT3" s="4" t="s">
        <v>64</v>
      </c>
      <c r="AU3" s="4" t="s">
        <v>65</v>
      </c>
    </row>
    <row r="4" customFormat="false" ht="26.85" hidden="false" customHeight="false" outlineLevel="0" collapsed="false">
      <c r="A4" s="2" t="s">
        <v>280</v>
      </c>
      <c r="B4" s="5" t="s">
        <v>281</v>
      </c>
      <c r="C4" s="6" t="s">
        <v>282</v>
      </c>
      <c r="D4" s="6" t="s">
        <v>69</v>
      </c>
      <c r="E4" s="6" t="n">
        <v>2021</v>
      </c>
      <c r="F4" s="5" t="s">
        <v>283</v>
      </c>
      <c r="G4" s="6" t="s">
        <v>284</v>
      </c>
      <c r="H4" s="6" t="s">
        <v>73</v>
      </c>
      <c r="I4" s="6" t="n">
        <v>500</v>
      </c>
      <c r="J4" s="6" t="s">
        <v>75</v>
      </c>
      <c r="K4" s="6" t="n">
        <v>3</v>
      </c>
      <c r="L4" s="6" t="s">
        <v>76</v>
      </c>
      <c r="M4" s="6" t="s">
        <v>76</v>
      </c>
      <c r="N4" s="6" t="s">
        <v>76</v>
      </c>
      <c r="O4" s="6" t="s">
        <v>77</v>
      </c>
      <c r="P4" s="6" t="s">
        <v>78</v>
      </c>
      <c r="Q4" s="6" t="s">
        <v>79</v>
      </c>
      <c r="R4" s="6" t="s">
        <v>80</v>
      </c>
      <c r="S4" s="6" t="s">
        <v>79</v>
      </c>
      <c r="T4" s="6" t="s">
        <v>73</v>
      </c>
      <c r="U4" s="6" t="s">
        <v>76</v>
      </c>
      <c r="V4" s="6" t="s">
        <v>73</v>
      </c>
      <c r="W4" s="6" t="s">
        <v>81</v>
      </c>
      <c r="X4" s="6" t="s">
        <v>76</v>
      </c>
      <c r="Y4" s="6" t="s">
        <v>82</v>
      </c>
      <c r="Z4" s="6" t="n">
        <v>3</v>
      </c>
      <c r="AA4" s="6" t="n">
        <v>4</v>
      </c>
      <c r="AB4" s="6" t="n">
        <v>40</v>
      </c>
      <c r="AC4" s="6" t="n">
        <v>500</v>
      </c>
      <c r="AD4" s="6" t="s">
        <v>76</v>
      </c>
      <c r="AE4" s="6" t="s">
        <v>73</v>
      </c>
      <c r="AF4" s="5" t="s">
        <v>285</v>
      </c>
      <c r="AG4" s="3"/>
      <c r="AH4" s="2" t="n">
        <f aca="false">IF(H4="ja",1,0)</f>
        <v>1</v>
      </c>
      <c r="AI4" s="2" t="n">
        <f aca="false">IF(J4="schoon",1,IF(J4="vuil",0.5,0))</f>
        <v>1</v>
      </c>
      <c r="AJ4" s="2" t="n">
        <f aca="false">K4/5</f>
        <v>0.6</v>
      </c>
      <c r="AK4" s="2" t="n">
        <f aca="false">IF(L4="ja",1,0)</f>
        <v>0</v>
      </c>
      <c r="AL4" s="2" t="n">
        <f aca="false">IF(M4="ja",1,0)</f>
        <v>0</v>
      </c>
      <c r="AM4" s="2" t="n">
        <f aca="false">IF(N4="ja",1,0)</f>
        <v>0</v>
      </c>
      <c r="AN4" s="2" t="n">
        <f aca="false">IF(O4="exact",1,0)</f>
        <v>1</v>
      </c>
      <c r="AO4" s="2" t="n">
        <f aca="false">IF(T4="ja",1,0)</f>
        <v>1</v>
      </c>
      <c r="AP4" s="2" t="n">
        <f aca="false">IF(U4="ja",1,0)</f>
        <v>0</v>
      </c>
      <c r="AQ4" s="2" t="n">
        <f aca="false">IF(V4="ja",1,0)</f>
        <v>1</v>
      </c>
      <c r="AR4" s="2" t="n">
        <f aca="false">IF(W4="Bennett",1,IF(W4="meting",0.5,0))</f>
        <v>1</v>
      </c>
      <c r="AS4" s="2" t="n">
        <f aca="false">IF(X4="ja",1,0)</f>
        <v>0</v>
      </c>
      <c r="AT4" s="2" t="n">
        <f aca="false">Z4/5</f>
        <v>0.6</v>
      </c>
      <c r="AU4" s="2" t="n">
        <f aca="false">AA4/5</f>
        <v>0.8</v>
      </c>
    </row>
    <row r="5" customFormat="false" ht="26.85" hidden="false" customHeight="false" outlineLevel="0" collapsed="false">
      <c r="A5" s="2" t="s">
        <v>286</v>
      </c>
      <c r="B5" s="5" t="s">
        <v>287</v>
      </c>
      <c r="C5" s="6" t="s">
        <v>282</v>
      </c>
      <c r="D5" s="6" t="s">
        <v>69</v>
      </c>
      <c r="E5" s="6" t="n">
        <v>2019</v>
      </c>
      <c r="F5" s="5" t="s">
        <v>288</v>
      </c>
      <c r="G5" s="6" t="s">
        <v>89</v>
      </c>
      <c r="H5" s="6" t="s">
        <v>73</v>
      </c>
      <c r="I5" s="6" t="n">
        <v>250</v>
      </c>
      <c r="J5" s="6" t="s">
        <v>75</v>
      </c>
      <c r="K5" s="6" t="n">
        <v>3</v>
      </c>
      <c r="L5" s="6" t="s">
        <v>76</v>
      </c>
      <c r="M5" s="6" t="s">
        <v>76</v>
      </c>
      <c r="N5" s="6" t="s">
        <v>76</v>
      </c>
      <c r="O5" s="6" t="s">
        <v>77</v>
      </c>
      <c r="P5" s="6" t="s">
        <v>78</v>
      </c>
      <c r="Q5" s="6" t="s">
        <v>79</v>
      </c>
      <c r="R5" s="6" t="s">
        <v>80</v>
      </c>
      <c r="S5" s="6" t="s">
        <v>289</v>
      </c>
      <c r="T5" s="6" t="s">
        <v>73</v>
      </c>
      <c r="U5" s="6" t="s">
        <v>76</v>
      </c>
      <c r="V5" s="6" t="s">
        <v>73</v>
      </c>
      <c r="W5" s="6" t="s">
        <v>81</v>
      </c>
      <c r="X5" s="6" t="s">
        <v>76</v>
      </c>
      <c r="Y5" s="6" t="s">
        <v>82</v>
      </c>
      <c r="Z5" s="6" t="n">
        <v>4</v>
      </c>
      <c r="AA5" s="6" t="n">
        <v>3</v>
      </c>
      <c r="AB5" s="6" t="n">
        <v>60</v>
      </c>
      <c r="AC5" s="6" t="n">
        <v>250</v>
      </c>
      <c r="AD5" s="6" t="s">
        <v>76</v>
      </c>
      <c r="AE5" s="6" t="s">
        <v>76</v>
      </c>
      <c r="AF5" s="5" t="s">
        <v>290</v>
      </c>
      <c r="AG5" s="3"/>
      <c r="AH5" s="2" t="n">
        <f aca="false">IF(H5="ja",1,0)</f>
        <v>1</v>
      </c>
      <c r="AI5" s="2" t="n">
        <f aca="false">IF(J5="schoon",1,IF(J5="vuil",0.5,0))</f>
        <v>1</v>
      </c>
      <c r="AJ5" s="2" t="n">
        <f aca="false">K5/5</f>
        <v>0.6</v>
      </c>
      <c r="AK5" s="2" t="n">
        <f aca="false">IF(L5="ja",1,0)</f>
        <v>0</v>
      </c>
      <c r="AL5" s="2" t="n">
        <f aca="false">IF(M5="ja",1,0)</f>
        <v>0</v>
      </c>
      <c r="AM5" s="2" t="n">
        <f aca="false">IF(N5="ja",1,0)</f>
        <v>0</v>
      </c>
      <c r="AN5" s="2" t="n">
        <f aca="false">IF(O5="exact",1,0)</f>
        <v>1</v>
      </c>
      <c r="AO5" s="2" t="n">
        <f aca="false">IF(T5="ja",1,0)</f>
        <v>1</v>
      </c>
      <c r="AP5" s="2" t="n">
        <f aca="false">IF(U5="ja",1,0)</f>
        <v>0</v>
      </c>
      <c r="AQ5" s="2" t="n">
        <f aca="false">IF(V5="ja",1,0)</f>
        <v>1</v>
      </c>
      <c r="AR5" s="2" t="n">
        <f aca="false">IF(W5="Bennett",1,IF(W5="meting",0.5,0))</f>
        <v>1</v>
      </c>
      <c r="AS5" s="2" t="n">
        <f aca="false">IF(X5="ja",1,0)</f>
        <v>0</v>
      </c>
      <c r="AT5" s="2" t="n">
        <f aca="false">Z5/5</f>
        <v>0.8</v>
      </c>
      <c r="AU5" s="2" t="n">
        <f aca="false">AA5/5</f>
        <v>0.6</v>
      </c>
    </row>
    <row r="6" customFormat="false" ht="26.85" hidden="false" customHeight="false" outlineLevel="0" collapsed="false">
      <c r="A6" s="2" t="s">
        <v>291</v>
      </c>
      <c r="B6" s="5" t="s">
        <v>292</v>
      </c>
      <c r="C6" s="6" t="s">
        <v>282</v>
      </c>
      <c r="D6" s="6" t="s">
        <v>69</v>
      </c>
      <c r="E6" s="6" t="n">
        <v>1994</v>
      </c>
      <c r="F6" s="5" t="s">
        <v>293</v>
      </c>
      <c r="G6" s="6" t="s">
        <v>89</v>
      </c>
      <c r="H6" s="6" t="s">
        <v>73</v>
      </c>
      <c r="I6" s="6" t="n">
        <v>300</v>
      </c>
      <c r="J6" s="6" t="s">
        <v>75</v>
      </c>
      <c r="K6" s="6" t="n">
        <v>3</v>
      </c>
      <c r="L6" s="6" t="s">
        <v>76</v>
      </c>
      <c r="M6" s="6" t="s">
        <v>76</v>
      </c>
      <c r="N6" s="6" t="s">
        <v>76</v>
      </c>
      <c r="O6" s="6" t="s">
        <v>77</v>
      </c>
      <c r="P6" s="6" t="s">
        <v>78</v>
      </c>
      <c r="Q6" s="6" t="s">
        <v>79</v>
      </c>
      <c r="R6" s="6" t="s">
        <v>80</v>
      </c>
      <c r="S6" s="6" t="s">
        <v>79</v>
      </c>
      <c r="T6" s="6" t="s">
        <v>73</v>
      </c>
      <c r="U6" s="6" t="s">
        <v>76</v>
      </c>
      <c r="V6" s="6" t="s">
        <v>73</v>
      </c>
      <c r="W6" s="6" t="s">
        <v>81</v>
      </c>
      <c r="X6" s="6" t="s">
        <v>73</v>
      </c>
      <c r="Y6" s="6" t="s">
        <v>106</v>
      </c>
      <c r="Z6" s="6" t="n">
        <v>4</v>
      </c>
      <c r="AA6" s="6" t="n">
        <v>2</v>
      </c>
      <c r="AB6" s="6" t="n">
        <v>150</v>
      </c>
      <c r="AC6" s="6" t="n">
        <v>300</v>
      </c>
      <c r="AD6" s="6" t="s">
        <v>76</v>
      </c>
      <c r="AE6" s="6" t="s">
        <v>76</v>
      </c>
      <c r="AF6" s="5" t="s">
        <v>294</v>
      </c>
      <c r="AG6" s="3"/>
      <c r="AH6" s="2" t="n">
        <f aca="false">IF(H6="ja",1,0)</f>
        <v>1</v>
      </c>
      <c r="AI6" s="2" t="n">
        <f aca="false">IF(J6="schoon",1,IF(J6="vuil",0.5,0))</f>
        <v>1</v>
      </c>
      <c r="AJ6" s="2" t="n">
        <f aca="false">K6/5</f>
        <v>0.6</v>
      </c>
      <c r="AK6" s="2" t="n">
        <f aca="false">IF(L6="ja",1,0)</f>
        <v>0</v>
      </c>
      <c r="AL6" s="2" t="n">
        <f aca="false">IF(M6="ja",1,0)</f>
        <v>0</v>
      </c>
      <c r="AM6" s="2" t="n">
        <f aca="false">IF(N6="ja",1,0)</f>
        <v>0</v>
      </c>
      <c r="AN6" s="2" t="n">
        <f aca="false">IF(O6="exact",1,0)</f>
        <v>1</v>
      </c>
      <c r="AO6" s="2" t="n">
        <f aca="false">IF(T6="ja",1,0)</f>
        <v>1</v>
      </c>
      <c r="AP6" s="2" t="n">
        <f aca="false">IF(U6="ja",1,0)</f>
        <v>0</v>
      </c>
      <c r="AQ6" s="2" t="n">
        <f aca="false">IF(V6="ja",1,0)</f>
        <v>1</v>
      </c>
      <c r="AR6" s="2" t="n">
        <f aca="false">IF(W6="Bennett",1,IF(W6="meting",0.5,0))</f>
        <v>1</v>
      </c>
      <c r="AS6" s="2" t="n">
        <f aca="false">IF(X6="ja",1,0)</f>
        <v>1</v>
      </c>
      <c r="AT6" s="2" t="n">
        <f aca="false">Z6/5</f>
        <v>0.8</v>
      </c>
      <c r="AU6" s="2" t="n">
        <f aca="false">AA6/5</f>
        <v>0.4</v>
      </c>
    </row>
    <row r="7" customFormat="false" ht="26.85" hidden="false" customHeight="false" outlineLevel="0" collapsed="false">
      <c r="A7" s="2" t="s">
        <v>295</v>
      </c>
      <c r="B7" s="5" t="s">
        <v>296</v>
      </c>
      <c r="C7" s="6" t="s">
        <v>282</v>
      </c>
      <c r="D7" s="6" t="s">
        <v>69</v>
      </c>
      <c r="E7" s="6" t="n">
        <v>1971</v>
      </c>
      <c r="F7" s="5" t="s">
        <v>297</v>
      </c>
      <c r="G7" s="6" t="s">
        <v>89</v>
      </c>
      <c r="H7" s="6" t="s">
        <v>73</v>
      </c>
      <c r="I7" s="6" t="n">
        <v>512</v>
      </c>
      <c r="J7" s="6" t="s">
        <v>75</v>
      </c>
      <c r="K7" s="6" t="n">
        <v>4</v>
      </c>
      <c r="L7" s="6" t="s">
        <v>76</v>
      </c>
      <c r="M7" s="6" t="s">
        <v>76</v>
      </c>
      <c r="N7" s="6" t="s">
        <v>76</v>
      </c>
      <c r="O7" s="6" t="s">
        <v>77</v>
      </c>
      <c r="P7" s="6" t="s">
        <v>78</v>
      </c>
      <c r="Q7" s="6" t="s">
        <v>298</v>
      </c>
      <c r="R7" s="6" t="s">
        <v>80</v>
      </c>
      <c r="S7" s="6" t="s">
        <v>299</v>
      </c>
      <c r="T7" s="6" t="s">
        <v>73</v>
      </c>
      <c r="U7" s="6" t="s">
        <v>76</v>
      </c>
      <c r="V7" s="6" t="s">
        <v>73</v>
      </c>
      <c r="W7" s="6" t="s">
        <v>81</v>
      </c>
      <c r="X7" s="6" t="s">
        <v>76</v>
      </c>
      <c r="Y7" s="6" t="s">
        <v>82</v>
      </c>
      <c r="Z7" s="6" t="n">
        <v>5</v>
      </c>
      <c r="AA7" s="6" t="n">
        <v>2</v>
      </c>
      <c r="AB7" s="6" t="n">
        <v>200</v>
      </c>
      <c r="AC7" s="6" t="n">
        <v>512</v>
      </c>
      <c r="AD7" s="6" t="s">
        <v>76</v>
      </c>
      <c r="AE7" s="6" t="s">
        <v>76</v>
      </c>
      <c r="AF7" s="5" t="s">
        <v>300</v>
      </c>
      <c r="AG7" s="3"/>
      <c r="AH7" s="2" t="n">
        <f aca="false">IF(H7="ja",1,0)</f>
        <v>1</v>
      </c>
      <c r="AI7" s="2" t="n">
        <f aca="false">IF(J7="schoon",1,IF(J7="vuil",0.5,0))</f>
        <v>1</v>
      </c>
      <c r="AJ7" s="2" t="n">
        <f aca="false">K7/5</f>
        <v>0.8</v>
      </c>
      <c r="AK7" s="2" t="n">
        <f aca="false">IF(L7="ja",1,0)</f>
        <v>0</v>
      </c>
      <c r="AL7" s="2" t="n">
        <f aca="false">IF(M7="ja",1,0)</f>
        <v>0</v>
      </c>
      <c r="AM7" s="2" t="n">
        <f aca="false">IF(N7="ja",1,0)</f>
        <v>0</v>
      </c>
      <c r="AN7" s="2" t="n">
        <f aca="false">IF(O7="exact",1,0)</f>
        <v>1</v>
      </c>
      <c r="AO7" s="2" t="n">
        <f aca="false">IF(T7="ja",1,0)</f>
        <v>1</v>
      </c>
      <c r="AP7" s="2" t="n">
        <f aca="false">IF(U7="ja",1,0)</f>
        <v>0</v>
      </c>
      <c r="AQ7" s="2" t="n">
        <f aca="false">IF(V7="ja",1,0)</f>
        <v>1</v>
      </c>
      <c r="AR7" s="2" t="n">
        <f aca="false">IF(W7="Bennett",1,IF(W7="meting",0.5,0))</f>
        <v>1</v>
      </c>
      <c r="AS7" s="2" t="n">
        <f aca="false">IF(X7="ja",1,0)</f>
        <v>0</v>
      </c>
      <c r="AT7" s="2" t="n">
        <f aca="false">Z7/5</f>
        <v>1</v>
      </c>
      <c r="AU7" s="2" t="n">
        <f aca="false">AA7/5</f>
        <v>0.4</v>
      </c>
    </row>
    <row r="8" customFormat="false" ht="26.85" hidden="false" customHeight="false" outlineLevel="0" collapsed="false">
      <c r="A8" s="2" t="s">
        <v>301</v>
      </c>
      <c r="B8" s="5" t="s">
        <v>302</v>
      </c>
      <c r="C8" s="6" t="s">
        <v>282</v>
      </c>
      <c r="D8" s="6" t="s">
        <v>69</v>
      </c>
      <c r="E8" s="6" t="n">
        <v>2003</v>
      </c>
      <c r="F8" s="5" t="s">
        <v>303</v>
      </c>
      <c r="G8" s="6" t="s">
        <v>100</v>
      </c>
      <c r="H8" s="6" t="s">
        <v>73</v>
      </c>
      <c r="I8" s="6" t="n">
        <v>-200</v>
      </c>
      <c r="J8" s="6" t="s">
        <v>75</v>
      </c>
      <c r="K8" s="6" t="n">
        <v>5</v>
      </c>
      <c r="L8" s="6" t="s">
        <v>76</v>
      </c>
      <c r="M8" s="6" t="s">
        <v>76</v>
      </c>
      <c r="N8" s="6" t="s">
        <v>76</v>
      </c>
      <c r="O8" s="6" t="s">
        <v>77</v>
      </c>
      <c r="P8" s="6" t="s">
        <v>78</v>
      </c>
      <c r="Q8" s="6" t="s">
        <v>304</v>
      </c>
      <c r="R8" s="6" t="s">
        <v>80</v>
      </c>
      <c r="S8" s="6" t="s">
        <v>304</v>
      </c>
      <c r="T8" s="6" t="s">
        <v>73</v>
      </c>
      <c r="U8" s="6" t="s">
        <v>76</v>
      </c>
      <c r="V8" s="6" t="s">
        <v>73</v>
      </c>
      <c r="W8" s="6" t="s">
        <v>81</v>
      </c>
      <c r="X8" s="6" t="s">
        <v>76</v>
      </c>
      <c r="Y8" s="6" t="s">
        <v>82</v>
      </c>
      <c r="Z8" s="6" t="n">
        <v>5</v>
      </c>
      <c r="AA8" s="6" t="n">
        <v>3</v>
      </c>
      <c r="AB8" s="6" t="n">
        <v>3000</v>
      </c>
      <c r="AC8" s="6" t="n">
        <v>-200</v>
      </c>
      <c r="AD8" s="6" t="s">
        <v>76</v>
      </c>
      <c r="AE8" s="6" t="s">
        <v>73</v>
      </c>
      <c r="AF8" s="5" t="s">
        <v>305</v>
      </c>
      <c r="AG8" s="3"/>
      <c r="AH8" s="2" t="n">
        <f aca="false">IF(H8="ja",1,0)</f>
        <v>1</v>
      </c>
      <c r="AI8" s="2" t="n">
        <f aca="false">IF(J8="schoon",1,IF(J8="vuil",0.5,0))</f>
        <v>1</v>
      </c>
      <c r="AJ8" s="2" t="n">
        <f aca="false">K8/5</f>
        <v>1</v>
      </c>
      <c r="AK8" s="2" t="n">
        <f aca="false">IF(L8="ja",1,0)</f>
        <v>0</v>
      </c>
      <c r="AL8" s="2" t="n">
        <f aca="false">IF(M8="ja",1,0)</f>
        <v>0</v>
      </c>
      <c r="AM8" s="2" t="n">
        <f aca="false">IF(N8="ja",1,0)</f>
        <v>0</v>
      </c>
      <c r="AN8" s="2" t="n">
        <f aca="false">IF(O8="exact",1,0)</f>
        <v>1</v>
      </c>
      <c r="AO8" s="2" t="n">
        <f aca="false">IF(T8="ja",1,0)</f>
        <v>1</v>
      </c>
      <c r="AP8" s="2" t="n">
        <f aca="false">IF(U8="ja",1,0)</f>
        <v>0</v>
      </c>
      <c r="AQ8" s="2" t="n">
        <f aca="false">IF(V8="ja",1,0)</f>
        <v>1</v>
      </c>
      <c r="AR8" s="2" t="n">
        <f aca="false">IF(W8="Bennett",1,IF(W8="meting",0.5,0))</f>
        <v>1</v>
      </c>
      <c r="AS8" s="2" t="n">
        <f aca="false">IF(X8="ja",1,0)</f>
        <v>0</v>
      </c>
      <c r="AT8" s="2" t="n">
        <f aca="false">Z8/5</f>
        <v>1</v>
      </c>
      <c r="AU8" s="2" t="n">
        <f aca="false">AA8/5</f>
        <v>0.6</v>
      </c>
    </row>
    <row r="9" customFormat="false" ht="26.85" hidden="false" customHeight="false" outlineLevel="0" collapsed="false">
      <c r="A9" s="2" t="s">
        <v>306</v>
      </c>
      <c r="B9" s="5" t="s">
        <v>307</v>
      </c>
      <c r="C9" s="6" t="s">
        <v>282</v>
      </c>
      <c r="D9" s="6" t="s">
        <v>69</v>
      </c>
      <c r="E9" s="6" t="n">
        <v>1995</v>
      </c>
      <c r="F9" s="5" t="s">
        <v>308</v>
      </c>
      <c r="G9" s="6" t="s">
        <v>89</v>
      </c>
      <c r="H9" s="6" t="s">
        <v>73</v>
      </c>
      <c r="I9" s="6" t="n">
        <v>300</v>
      </c>
      <c r="J9" s="6" t="s">
        <v>75</v>
      </c>
      <c r="K9" s="6" t="n">
        <v>3</v>
      </c>
      <c r="L9" s="6" t="s">
        <v>76</v>
      </c>
      <c r="M9" s="6" t="s">
        <v>76</v>
      </c>
      <c r="N9" s="6" t="s">
        <v>76</v>
      </c>
      <c r="O9" s="6" t="s">
        <v>77</v>
      </c>
      <c r="P9" s="6" t="s">
        <v>78</v>
      </c>
      <c r="Q9" s="6" t="s">
        <v>79</v>
      </c>
      <c r="R9" s="6" t="s">
        <v>80</v>
      </c>
      <c r="S9" s="6" t="s">
        <v>79</v>
      </c>
      <c r="T9" s="6" t="s">
        <v>73</v>
      </c>
      <c r="U9" s="6" t="s">
        <v>76</v>
      </c>
      <c r="V9" s="6" t="s">
        <v>73</v>
      </c>
      <c r="W9" s="6" t="s">
        <v>81</v>
      </c>
      <c r="X9" s="6" t="s">
        <v>76</v>
      </c>
      <c r="Y9" s="6" t="s">
        <v>82</v>
      </c>
      <c r="Z9" s="6" t="n">
        <v>3</v>
      </c>
      <c r="AA9" s="6" t="n">
        <v>5</v>
      </c>
      <c r="AB9" s="6" t="n">
        <v>150</v>
      </c>
      <c r="AC9" s="6" t="n">
        <v>300</v>
      </c>
      <c r="AD9" s="6" t="s">
        <v>76</v>
      </c>
      <c r="AE9" s="6" t="s">
        <v>73</v>
      </c>
      <c r="AF9" s="5" t="s">
        <v>309</v>
      </c>
      <c r="AG9" s="3"/>
      <c r="AH9" s="2" t="n">
        <f aca="false">IF(H9="ja",1,0)</f>
        <v>1</v>
      </c>
      <c r="AI9" s="2" t="n">
        <f aca="false">IF(J9="schoon",1,IF(J9="vuil",0.5,0))</f>
        <v>1</v>
      </c>
      <c r="AJ9" s="2" t="n">
        <f aca="false">K9/5</f>
        <v>0.6</v>
      </c>
      <c r="AK9" s="2" t="n">
        <f aca="false">IF(L9="ja",1,0)</f>
        <v>0</v>
      </c>
      <c r="AL9" s="2" t="n">
        <f aca="false">IF(M9="ja",1,0)</f>
        <v>0</v>
      </c>
      <c r="AM9" s="2" t="n">
        <f aca="false">IF(N9="ja",1,0)</f>
        <v>0</v>
      </c>
      <c r="AN9" s="2" t="n">
        <f aca="false">IF(O9="exact",1,0)</f>
        <v>1</v>
      </c>
      <c r="AO9" s="2" t="n">
        <f aca="false">IF(T9="ja",1,0)</f>
        <v>1</v>
      </c>
      <c r="AP9" s="2" t="n">
        <f aca="false">IF(U9="ja",1,0)</f>
        <v>0</v>
      </c>
      <c r="AQ9" s="2" t="n">
        <f aca="false">IF(V9="ja",1,0)</f>
        <v>1</v>
      </c>
      <c r="AR9" s="2" t="n">
        <f aca="false">IF(W9="Bennett",1,IF(W9="meting",0.5,0))</f>
        <v>1</v>
      </c>
      <c r="AS9" s="2" t="n">
        <f aca="false">IF(X9="ja",1,0)</f>
        <v>0</v>
      </c>
      <c r="AT9" s="2" t="n">
        <f aca="false">Z9/5</f>
        <v>0.6</v>
      </c>
      <c r="AU9" s="2" t="n">
        <f aca="false">AA9/5</f>
        <v>1</v>
      </c>
    </row>
    <row r="10" customFormat="false" ht="26.85" hidden="false" customHeight="false" outlineLevel="0" collapsed="false">
      <c r="A10" s="2" t="s">
        <v>310</v>
      </c>
      <c r="B10" s="5" t="s">
        <v>311</v>
      </c>
      <c r="C10" s="6" t="s">
        <v>282</v>
      </c>
      <c r="D10" s="6" t="s">
        <v>69</v>
      </c>
      <c r="E10" s="6" t="n">
        <v>1640</v>
      </c>
      <c r="F10" s="5" t="s">
        <v>312</v>
      </c>
      <c r="G10" s="6" t="s">
        <v>284</v>
      </c>
      <c r="H10" s="6" t="s">
        <v>73</v>
      </c>
      <c r="I10" s="6" t="n">
        <v>2560</v>
      </c>
      <c r="J10" s="6" t="s">
        <v>75</v>
      </c>
      <c r="K10" s="6" t="n">
        <v>5</v>
      </c>
      <c r="L10" s="6" t="s">
        <v>76</v>
      </c>
      <c r="M10" s="6" t="s">
        <v>76</v>
      </c>
      <c r="N10" s="6" t="s">
        <v>76</v>
      </c>
      <c r="O10" s="6" t="s">
        <v>77</v>
      </c>
      <c r="P10" s="6" t="s">
        <v>78</v>
      </c>
      <c r="Q10" s="6" t="s">
        <v>313</v>
      </c>
      <c r="R10" s="6" t="s">
        <v>314</v>
      </c>
      <c r="S10" s="6" t="s">
        <v>313</v>
      </c>
      <c r="T10" s="6" t="s">
        <v>73</v>
      </c>
      <c r="U10" s="6" t="s">
        <v>76</v>
      </c>
      <c r="V10" s="6" t="s">
        <v>76</v>
      </c>
      <c r="W10" s="6" t="s">
        <v>81</v>
      </c>
      <c r="X10" s="6" t="s">
        <v>76</v>
      </c>
      <c r="Y10" s="6" t="s">
        <v>82</v>
      </c>
      <c r="Z10" s="6" t="n">
        <v>2</v>
      </c>
      <c r="AA10" s="6" t="n">
        <v>5</v>
      </c>
      <c r="AB10" s="6" t="n">
        <v>30000</v>
      </c>
      <c r="AC10" s="6" t="n">
        <v>2400</v>
      </c>
      <c r="AD10" s="6" t="s">
        <v>76</v>
      </c>
      <c r="AE10" s="6" t="s">
        <v>76</v>
      </c>
      <c r="AF10" s="5" t="s">
        <v>315</v>
      </c>
      <c r="AG10" s="3"/>
      <c r="AH10" s="2" t="n">
        <f aca="false">IF(H10="ja",1,0)</f>
        <v>1</v>
      </c>
      <c r="AI10" s="2" t="n">
        <f aca="false">IF(J10="schoon",1,IF(J10="vuil",0.5,0))</f>
        <v>1</v>
      </c>
      <c r="AJ10" s="2" t="n">
        <f aca="false">K10/5</f>
        <v>1</v>
      </c>
      <c r="AK10" s="2" t="n">
        <f aca="false">IF(L10="ja",1,0)</f>
        <v>0</v>
      </c>
      <c r="AL10" s="2" t="n">
        <f aca="false">IF(M10="ja",1,0)</f>
        <v>0</v>
      </c>
      <c r="AM10" s="2" t="n">
        <f aca="false">IF(N10="ja",1,0)</f>
        <v>0</v>
      </c>
      <c r="AN10" s="2" t="n">
        <f aca="false">IF(O10="exact",1,0)</f>
        <v>1</v>
      </c>
      <c r="AO10" s="2" t="n">
        <f aca="false">IF(T10="ja",1,0)</f>
        <v>1</v>
      </c>
      <c r="AP10" s="2" t="n">
        <f aca="false">IF(U10="ja",1,0)</f>
        <v>0</v>
      </c>
      <c r="AQ10" s="2" t="n">
        <f aca="false">IF(V10="ja",1,0)</f>
        <v>0</v>
      </c>
      <c r="AR10" s="2" t="n">
        <f aca="false">IF(W10="Bennett",1,IF(W10="meting",0.5,0))</f>
        <v>1</v>
      </c>
      <c r="AS10" s="2" t="n">
        <f aca="false">IF(X10="ja",1,0)</f>
        <v>0</v>
      </c>
      <c r="AT10" s="2" t="n">
        <f aca="false">Z10/5</f>
        <v>0.4</v>
      </c>
      <c r="AU10" s="2" t="n">
        <f aca="false">AA10/5</f>
        <v>1</v>
      </c>
    </row>
    <row r="11" customFormat="false" ht="26.85" hidden="false" customHeight="false" outlineLevel="0" collapsed="false">
      <c r="A11" s="2" t="s">
        <v>316</v>
      </c>
      <c r="B11" s="5" t="s">
        <v>317</v>
      </c>
      <c r="C11" s="6" t="s">
        <v>151</v>
      </c>
      <c r="D11" s="6" t="s">
        <v>152</v>
      </c>
      <c r="E11" s="6" t="n">
        <v>2019</v>
      </c>
      <c r="F11" s="5" t="s">
        <v>318</v>
      </c>
      <c r="G11" s="6" t="s">
        <v>100</v>
      </c>
      <c r="H11" s="6" t="s">
        <v>76</v>
      </c>
      <c r="I11" s="6" t="n">
        <v>-150</v>
      </c>
      <c r="J11" s="6" t="s">
        <v>90</v>
      </c>
      <c r="K11" s="6" t="n">
        <v>4</v>
      </c>
      <c r="L11" s="6" t="s">
        <v>76</v>
      </c>
      <c r="M11" s="6" t="s">
        <v>73</v>
      </c>
      <c r="N11" s="6" t="s">
        <v>73</v>
      </c>
      <c r="O11" s="6" t="s">
        <v>77</v>
      </c>
      <c r="P11" s="6" t="s">
        <v>78</v>
      </c>
      <c r="Q11" s="6" t="s">
        <v>319</v>
      </c>
      <c r="R11" s="6" t="s">
        <v>320</v>
      </c>
      <c r="S11" s="6" t="s">
        <v>319</v>
      </c>
      <c r="T11" s="6" t="s">
        <v>73</v>
      </c>
      <c r="U11" s="6" t="s">
        <v>76</v>
      </c>
      <c r="V11" s="6" t="s">
        <v>73</v>
      </c>
      <c r="W11" s="6" t="s">
        <v>105</v>
      </c>
      <c r="X11" s="6" t="s">
        <v>76</v>
      </c>
      <c r="Y11" s="6" t="s">
        <v>153</v>
      </c>
      <c r="Z11" s="6" t="n">
        <v>4</v>
      </c>
      <c r="AA11" s="6" t="n">
        <v>3</v>
      </c>
      <c r="AB11" s="6" t="n">
        <v>15</v>
      </c>
      <c r="AC11" s="6" t="n">
        <v>-150</v>
      </c>
      <c r="AD11" s="6" t="s">
        <v>76</v>
      </c>
      <c r="AE11" s="6" t="s">
        <v>76</v>
      </c>
      <c r="AF11" s="5" t="s">
        <v>321</v>
      </c>
      <c r="AG11" s="3"/>
      <c r="AH11" s="2" t="n">
        <f aca="false">IF(H11="ja",1,0)</f>
        <v>0</v>
      </c>
      <c r="AI11" s="2" t="n">
        <f aca="false">IF(J11="schoon",1,IF(J11="vuil",0.5,0))</f>
        <v>0</v>
      </c>
      <c r="AJ11" s="2" t="n">
        <f aca="false">K11/5</f>
        <v>0.8</v>
      </c>
      <c r="AK11" s="2" t="n">
        <f aca="false">IF(L11="ja",1,0)</f>
        <v>0</v>
      </c>
      <c r="AL11" s="2" t="n">
        <f aca="false">IF(M11="ja",1,0)</f>
        <v>1</v>
      </c>
      <c r="AM11" s="2" t="n">
        <f aca="false">IF(N11="ja",1,0)</f>
        <v>1</v>
      </c>
      <c r="AN11" s="2" t="n">
        <f aca="false">IF(O11="exact",1,0)</f>
        <v>1</v>
      </c>
      <c r="AO11" s="2" t="n">
        <f aca="false">IF(T11="ja",1,0)</f>
        <v>1</v>
      </c>
      <c r="AP11" s="2" t="n">
        <f aca="false">IF(U11="ja",1,0)</f>
        <v>0</v>
      </c>
      <c r="AQ11" s="2" t="n">
        <f aca="false">IF(V11="ja",1,0)</f>
        <v>1</v>
      </c>
      <c r="AR11" s="2" t="n">
        <f aca="false">IF(W11="Bennett",1,IF(W11="meting",0.5,0))</f>
        <v>0.5</v>
      </c>
      <c r="AS11" s="2" t="n">
        <f aca="false">IF(X11="ja",1,0)</f>
        <v>0</v>
      </c>
      <c r="AT11" s="2" t="n">
        <f aca="false">Z11/5</f>
        <v>0.8</v>
      </c>
      <c r="AU11" s="2" t="n">
        <f aca="false">AA11/5</f>
        <v>0.6</v>
      </c>
    </row>
    <row r="12" customFormat="false" ht="15" hidden="false" customHeight="false" outlineLevel="0" collapsed="false">
      <c r="A12" s="2" t="s">
        <v>322</v>
      </c>
      <c r="B12" s="5" t="s">
        <v>323</v>
      </c>
      <c r="C12" s="6" t="s">
        <v>151</v>
      </c>
      <c r="D12" s="6" t="s">
        <v>87</v>
      </c>
      <c r="E12" s="6" t="n">
        <v>1995</v>
      </c>
      <c r="F12" s="5" t="s">
        <v>324</v>
      </c>
      <c r="G12" s="6" t="s">
        <v>100</v>
      </c>
      <c r="H12" s="6" t="s">
        <v>76</v>
      </c>
      <c r="I12" s="6" t="n">
        <v>-100</v>
      </c>
      <c r="J12" s="6" t="s">
        <v>90</v>
      </c>
      <c r="K12" s="6" t="n">
        <v>4</v>
      </c>
      <c r="L12" s="6" t="s">
        <v>76</v>
      </c>
      <c r="M12" s="6" t="s">
        <v>76</v>
      </c>
      <c r="N12" s="6" t="s">
        <v>76</v>
      </c>
      <c r="O12" s="6" t="s">
        <v>77</v>
      </c>
      <c r="P12" s="6" t="s">
        <v>78</v>
      </c>
      <c r="Q12" s="6" t="s">
        <v>319</v>
      </c>
      <c r="R12" s="6" t="s">
        <v>325</v>
      </c>
      <c r="S12" s="6" t="s">
        <v>319</v>
      </c>
      <c r="T12" s="6" t="s">
        <v>73</v>
      </c>
      <c r="U12" s="6" t="s">
        <v>76</v>
      </c>
      <c r="V12" s="6" t="s">
        <v>73</v>
      </c>
      <c r="W12" s="6" t="s">
        <v>81</v>
      </c>
      <c r="X12" s="6" t="s">
        <v>76</v>
      </c>
      <c r="Y12" s="6" t="s">
        <v>82</v>
      </c>
      <c r="Z12" s="6" t="n">
        <v>2</v>
      </c>
      <c r="AA12" s="6" t="n">
        <v>5</v>
      </c>
      <c r="AB12" s="6" t="n">
        <v>20</v>
      </c>
      <c r="AC12" s="6" t="n">
        <v>-100</v>
      </c>
      <c r="AD12" s="6" t="s">
        <v>76</v>
      </c>
      <c r="AE12" s="6" t="s">
        <v>76</v>
      </c>
      <c r="AF12" s="5" t="s">
        <v>326</v>
      </c>
      <c r="AG12" s="3"/>
      <c r="AH12" s="2" t="n">
        <f aca="false">IF(H12="ja",1,0)</f>
        <v>0</v>
      </c>
      <c r="AI12" s="2" t="n">
        <f aca="false">IF(J12="schoon",1,IF(J12="vuil",0.5,0))</f>
        <v>0</v>
      </c>
      <c r="AJ12" s="2" t="n">
        <f aca="false">K12/5</f>
        <v>0.8</v>
      </c>
      <c r="AK12" s="2" t="n">
        <f aca="false">IF(L12="ja",1,0)</f>
        <v>0</v>
      </c>
      <c r="AL12" s="2" t="n">
        <f aca="false">IF(M12="ja",1,0)</f>
        <v>0</v>
      </c>
      <c r="AM12" s="2" t="n">
        <f aca="false">IF(N12="ja",1,0)</f>
        <v>0</v>
      </c>
      <c r="AN12" s="2" t="n">
        <f aca="false">IF(O12="exact",1,0)</f>
        <v>1</v>
      </c>
      <c r="AO12" s="2" t="n">
        <f aca="false">IF(T12="ja",1,0)</f>
        <v>1</v>
      </c>
      <c r="AP12" s="2" t="n">
        <f aca="false">IF(U12="ja",1,0)</f>
        <v>0</v>
      </c>
      <c r="AQ12" s="2" t="n">
        <f aca="false">IF(V12="ja",1,0)</f>
        <v>1</v>
      </c>
      <c r="AR12" s="2" t="n">
        <f aca="false">IF(W12="Bennett",1,IF(W12="meting",0.5,0))</f>
        <v>1</v>
      </c>
      <c r="AS12" s="2" t="n">
        <f aca="false">IF(X12="ja",1,0)</f>
        <v>0</v>
      </c>
      <c r="AT12" s="2" t="n">
        <f aca="false">Z12/5</f>
        <v>0.4</v>
      </c>
      <c r="AU12" s="2" t="n">
        <f aca="false">AA12/5</f>
        <v>1</v>
      </c>
    </row>
    <row r="13" customFormat="false" ht="26.85" hidden="false" customHeight="false" outlineLevel="0" collapsed="false">
      <c r="A13" s="2" t="s">
        <v>327</v>
      </c>
      <c r="B13" s="5" t="s">
        <v>328</v>
      </c>
      <c r="C13" s="6" t="s">
        <v>151</v>
      </c>
      <c r="D13" s="6" t="s">
        <v>87</v>
      </c>
      <c r="E13" s="6" t="n">
        <v>2019</v>
      </c>
      <c r="F13" s="5" t="s">
        <v>329</v>
      </c>
      <c r="G13" s="6" t="s">
        <v>100</v>
      </c>
      <c r="H13" s="6" t="s">
        <v>76</v>
      </c>
      <c r="I13" s="6" t="n">
        <v>-80</v>
      </c>
      <c r="J13" s="6" t="s">
        <v>90</v>
      </c>
      <c r="K13" s="6" t="n">
        <v>4</v>
      </c>
      <c r="L13" s="6" t="s">
        <v>76</v>
      </c>
      <c r="M13" s="6" t="s">
        <v>76</v>
      </c>
      <c r="N13" s="6" t="s">
        <v>76</v>
      </c>
      <c r="O13" s="6" t="s">
        <v>77</v>
      </c>
      <c r="P13" s="6" t="s">
        <v>78</v>
      </c>
      <c r="Q13" s="6" t="s">
        <v>330</v>
      </c>
      <c r="R13" s="6" t="s">
        <v>330</v>
      </c>
      <c r="S13" s="6" t="s">
        <v>330</v>
      </c>
      <c r="T13" s="6" t="s">
        <v>73</v>
      </c>
      <c r="U13" s="6" t="s">
        <v>76</v>
      </c>
      <c r="V13" s="6" t="s">
        <v>73</v>
      </c>
      <c r="W13" s="6" t="s">
        <v>81</v>
      </c>
      <c r="X13" s="6" t="s">
        <v>76</v>
      </c>
      <c r="Y13" s="6" t="s">
        <v>82</v>
      </c>
      <c r="Z13" s="6" t="n">
        <v>3</v>
      </c>
      <c r="AA13" s="6" t="n">
        <v>3</v>
      </c>
      <c r="AB13" s="6" t="n">
        <v>10</v>
      </c>
      <c r="AC13" s="6" t="n">
        <v>-80</v>
      </c>
      <c r="AD13" s="6" t="s">
        <v>76</v>
      </c>
      <c r="AE13" s="6" t="s">
        <v>76</v>
      </c>
      <c r="AF13" s="5" t="s">
        <v>331</v>
      </c>
      <c r="AG13" s="3"/>
      <c r="AH13" s="2" t="n">
        <f aca="false">IF(H13="ja",1,0)</f>
        <v>0</v>
      </c>
      <c r="AI13" s="2" t="n">
        <f aca="false">IF(J13="schoon",1,IF(J13="vuil",0.5,0))</f>
        <v>0</v>
      </c>
      <c r="AJ13" s="2" t="n">
        <f aca="false">K13/5</f>
        <v>0.8</v>
      </c>
      <c r="AK13" s="2" t="n">
        <f aca="false">IF(L13="ja",1,0)</f>
        <v>0</v>
      </c>
      <c r="AL13" s="2" t="n">
        <f aca="false">IF(M13="ja",1,0)</f>
        <v>0</v>
      </c>
      <c r="AM13" s="2" t="n">
        <f aca="false">IF(N13="ja",1,0)</f>
        <v>0</v>
      </c>
      <c r="AN13" s="2" t="n">
        <f aca="false">IF(O13="exact",1,0)</f>
        <v>1</v>
      </c>
      <c r="AO13" s="2" t="n">
        <f aca="false">IF(T13="ja",1,0)</f>
        <v>1</v>
      </c>
      <c r="AP13" s="2" t="n">
        <f aca="false">IF(U13="ja",1,0)</f>
        <v>0</v>
      </c>
      <c r="AQ13" s="2" t="n">
        <f aca="false">IF(V13="ja",1,0)</f>
        <v>1</v>
      </c>
      <c r="AR13" s="2" t="n">
        <f aca="false">IF(W13="Bennett",1,IF(W13="meting",0.5,0))</f>
        <v>1</v>
      </c>
      <c r="AS13" s="2" t="n">
        <f aca="false">IF(X13="ja",1,0)</f>
        <v>0</v>
      </c>
      <c r="AT13" s="2" t="n">
        <f aca="false">Z13/5</f>
        <v>0.6</v>
      </c>
      <c r="AU13" s="2" t="n">
        <f aca="false">AA13/5</f>
        <v>0.6</v>
      </c>
    </row>
    <row r="14" customFormat="false" ht="26.85" hidden="false" customHeight="false" outlineLevel="0" collapsed="false">
      <c r="A14" s="2" t="s">
        <v>332</v>
      </c>
      <c r="B14" s="5" t="s">
        <v>333</v>
      </c>
      <c r="C14" s="6" t="s">
        <v>132</v>
      </c>
      <c r="D14" s="6" t="s">
        <v>152</v>
      </c>
      <c r="E14" s="6" t="n">
        <v>2006</v>
      </c>
      <c r="F14" s="5" t="s">
        <v>334</v>
      </c>
      <c r="G14" s="6" t="s">
        <v>89</v>
      </c>
      <c r="H14" s="6" t="s">
        <v>73</v>
      </c>
      <c r="I14" s="6" t="n">
        <v>24</v>
      </c>
      <c r="J14" s="6" t="s">
        <v>75</v>
      </c>
      <c r="K14" s="6" t="n">
        <v>2</v>
      </c>
      <c r="L14" s="6" t="s">
        <v>76</v>
      </c>
      <c r="M14" s="6" t="s">
        <v>76</v>
      </c>
      <c r="N14" s="6" t="s">
        <v>76</v>
      </c>
      <c r="O14" s="6" t="s">
        <v>102</v>
      </c>
      <c r="P14" s="6" t="s">
        <v>335</v>
      </c>
      <c r="Q14" s="6" t="s">
        <v>80</v>
      </c>
      <c r="R14" s="6" t="s">
        <v>336</v>
      </c>
      <c r="S14" s="6" t="s">
        <v>80</v>
      </c>
      <c r="T14" s="6" t="s">
        <v>73</v>
      </c>
      <c r="U14" s="6" t="s">
        <v>76</v>
      </c>
      <c r="V14" s="6" t="s">
        <v>76</v>
      </c>
      <c r="W14" s="6" t="s">
        <v>90</v>
      </c>
      <c r="X14" s="6" t="s">
        <v>76</v>
      </c>
      <c r="Y14" s="6" t="s">
        <v>82</v>
      </c>
      <c r="Z14" s="6" t="n">
        <v>3</v>
      </c>
      <c r="AA14" s="6" t="n">
        <v>4</v>
      </c>
      <c r="AB14" s="6" t="n">
        <v>-3</v>
      </c>
      <c r="AC14" s="6" t="n">
        <v>48</v>
      </c>
      <c r="AD14" s="6" t="s">
        <v>76</v>
      </c>
      <c r="AE14" s="6" t="s">
        <v>76</v>
      </c>
      <c r="AF14" s="5" t="s">
        <v>337</v>
      </c>
      <c r="AG14" s="3"/>
      <c r="AH14" s="2" t="n">
        <f aca="false">IF(H14="ja",1,0)</f>
        <v>1</v>
      </c>
      <c r="AI14" s="2" t="n">
        <f aca="false">IF(J14="schoon",1,IF(J14="vuil",0.5,0))</f>
        <v>1</v>
      </c>
      <c r="AJ14" s="2" t="n">
        <f aca="false">K14/5</f>
        <v>0.4</v>
      </c>
      <c r="AK14" s="2" t="n">
        <f aca="false">IF(L14="ja",1,0)</f>
        <v>0</v>
      </c>
      <c r="AL14" s="2" t="n">
        <f aca="false">IF(M14="ja",1,0)</f>
        <v>0</v>
      </c>
      <c r="AM14" s="2" t="n">
        <f aca="false">IF(N14="ja",1,0)</f>
        <v>0</v>
      </c>
      <c r="AN14" s="2" t="n">
        <f aca="false">IF(O14="exact",1,0)</f>
        <v>0</v>
      </c>
      <c r="AO14" s="2" t="n">
        <f aca="false">IF(T14="ja",1,0)</f>
        <v>1</v>
      </c>
      <c r="AP14" s="2" t="n">
        <f aca="false">IF(U14="ja",1,0)</f>
        <v>0</v>
      </c>
      <c r="AQ14" s="2" t="n">
        <f aca="false">IF(V14="ja",1,0)</f>
        <v>0</v>
      </c>
      <c r="AR14" s="2" t="n">
        <f aca="false">IF(W14="Bennett",1,IF(W14="meting",0.5,0))</f>
        <v>0</v>
      </c>
      <c r="AS14" s="2" t="n">
        <f aca="false">IF(X14="ja",1,0)</f>
        <v>0</v>
      </c>
      <c r="AT14" s="2" t="n">
        <f aca="false">Z14/5</f>
        <v>0.6</v>
      </c>
      <c r="AU14" s="2" t="n">
        <f aca="false">AA14/5</f>
        <v>0.8</v>
      </c>
    </row>
    <row r="15" customFormat="false" ht="26.85" hidden="false" customHeight="false" outlineLevel="0" collapsed="false">
      <c r="A15" s="2" t="s">
        <v>338</v>
      </c>
      <c r="B15" s="5" t="s">
        <v>339</v>
      </c>
      <c r="C15" s="6" t="s">
        <v>173</v>
      </c>
      <c r="D15" s="6" t="s">
        <v>152</v>
      </c>
      <c r="E15" s="6" t="n">
        <v>2019</v>
      </c>
      <c r="F15" s="5" t="s">
        <v>340</v>
      </c>
      <c r="G15" s="6" t="s">
        <v>341</v>
      </c>
      <c r="H15" s="6" t="s">
        <v>73</v>
      </c>
      <c r="I15" s="6" t="n">
        <v>40</v>
      </c>
      <c r="J15" s="6" t="s">
        <v>75</v>
      </c>
      <c r="K15" s="6" t="n">
        <v>1</v>
      </c>
      <c r="L15" s="6" t="s">
        <v>76</v>
      </c>
      <c r="M15" s="6" t="s">
        <v>76</v>
      </c>
      <c r="N15" s="6" t="s">
        <v>76</v>
      </c>
      <c r="O15" s="6" t="s">
        <v>102</v>
      </c>
      <c r="P15" s="6" t="s">
        <v>342</v>
      </c>
      <c r="Q15" s="6" t="s">
        <v>80</v>
      </c>
      <c r="R15" s="6" t="s">
        <v>80</v>
      </c>
      <c r="S15" s="6" t="s">
        <v>343</v>
      </c>
      <c r="T15" s="6" t="s">
        <v>73</v>
      </c>
      <c r="U15" s="6" t="s">
        <v>76</v>
      </c>
      <c r="V15" s="6" t="s">
        <v>76</v>
      </c>
      <c r="W15" s="6" t="s">
        <v>90</v>
      </c>
      <c r="X15" s="6" t="s">
        <v>76</v>
      </c>
      <c r="Y15" s="6" t="s">
        <v>82</v>
      </c>
      <c r="Z15" s="6" t="n">
        <v>3</v>
      </c>
      <c r="AA15" s="6" t="n">
        <v>4</v>
      </c>
      <c r="AB15" s="6" t="n">
        <v>2</v>
      </c>
      <c r="AC15" s="6" t="n">
        <v>40</v>
      </c>
      <c r="AD15" s="6" t="s">
        <v>76</v>
      </c>
      <c r="AE15" s="6" t="s">
        <v>76</v>
      </c>
      <c r="AF15" s="5" t="s">
        <v>344</v>
      </c>
      <c r="AG15" s="3"/>
      <c r="AH15" s="2" t="n">
        <f aca="false">IF(H15="ja",1,0)</f>
        <v>1</v>
      </c>
      <c r="AI15" s="2" t="n">
        <f aca="false">IF(J15="schoon",1,IF(J15="vuil",0.5,0))</f>
        <v>1</v>
      </c>
      <c r="AJ15" s="2" t="n">
        <f aca="false">K15/5</f>
        <v>0.2</v>
      </c>
      <c r="AK15" s="2" t="n">
        <f aca="false">IF(L15="ja",1,0)</f>
        <v>0</v>
      </c>
      <c r="AL15" s="2" t="n">
        <f aca="false">IF(M15="ja",1,0)</f>
        <v>0</v>
      </c>
      <c r="AM15" s="2" t="n">
        <f aca="false">IF(N15="ja",1,0)</f>
        <v>0</v>
      </c>
      <c r="AN15" s="2" t="n">
        <f aca="false">IF(O15="exact",1,0)</f>
        <v>0</v>
      </c>
      <c r="AO15" s="2" t="n">
        <f aca="false">IF(T15="ja",1,0)</f>
        <v>1</v>
      </c>
      <c r="AP15" s="2" t="n">
        <f aca="false">IF(U15="ja",1,0)</f>
        <v>0</v>
      </c>
      <c r="AQ15" s="2" t="n">
        <f aca="false">IF(V15="ja",1,0)</f>
        <v>0</v>
      </c>
      <c r="AR15" s="2" t="n">
        <f aca="false">IF(W15="Bennett",1,IF(W15="meting",0.5,0))</f>
        <v>0</v>
      </c>
      <c r="AS15" s="2" t="n">
        <f aca="false">IF(X15="ja",1,0)</f>
        <v>0</v>
      </c>
      <c r="AT15" s="2" t="n">
        <f aca="false">Z15/5</f>
        <v>0.6</v>
      </c>
      <c r="AU15" s="2" t="n">
        <f aca="false">AA15/5</f>
        <v>0.8</v>
      </c>
    </row>
    <row r="16" customFormat="false" ht="26.85" hidden="false" customHeight="false" outlineLevel="0" collapsed="false">
      <c r="A16" s="2" t="s">
        <v>345</v>
      </c>
      <c r="B16" s="5" t="s">
        <v>346</v>
      </c>
      <c r="C16" s="6" t="s">
        <v>185</v>
      </c>
      <c r="D16" s="6" t="s">
        <v>69</v>
      </c>
      <c r="E16" s="6" t="n">
        <v>2024</v>
      </c>
      <c r="F16" s="5" t="s">
        <v>347</v>
      </c>
      <c r="G16" s="6" t="s">
        <v>100</v>
      </c>
      <c r="H16" s="6" t="s">
        <v>73</v>
      </c>
      <c r="I16" s="6" t="n">
        <v>-300</v>
      </c>
      <c r="J16" s="6" t="s">
        <v>75</v>
      </c>
      <c r="K16" s="6" t="n">
        <v>4</v>
      </c>
      <c r="L16" s="6" t="s">
        <v>76</v>
      </c>
      <c r="M16" s="6" t="s">
        <v>73</v>
      </c>
      <c r="N16" s="6" t="s">
        <v>73</v>
      </c>
      <c r="O16" s="6" t="s">
        <v>102</v>
      </c>
      <c r="P16" s="6" t="s">
        <v>348</v>
      </c>
      <c r="Q16" s="6" t="s">
        <v>304</v>
      </c>
      <c r="R16" s="6" t="s">
        <v>349</v>
      </c>
      <c r="S16" s="6" t="s">
        <v>79</v>
      </c>
      <c r="T16" s="6" t="s">
        <v>73</v>
      </c>
      <c r="U16" s="6" t="s">
        <v>76</v>
      </c>
      <c r="V16" s="6" t="s">
        <v>76</v>
      </c>
      <c r="W16" s="6" t="s">
        <v>105</v>
      </c>
      <c r="X16" s="6" t="s">
        <v>73</v>
      </c>
      <c r="Y16" s="6" t="s">
        <v>106</v>
      </c>
      <c r="Z16" s="6" t="n">
        <v>5</v>
      </c>
      <c r="AA16" s="6" t="n">
        <v>2</v>
      </c>
      <c r="AB16" s="6" t="n">
        <v>500</v>
      </c>
      <c r="AC16" s="6" t="n">
        <v>-300</v>
      </c>
      <c r="AD16" s="6" t="s">
        <v>76</v>
      </c>
      <c r="AE16" s="6" t="s">
        <v>76</v>
      </c>
      <c r="AF16" s="5" t="s">
        <v>350</v>
      </c>
      <c r="AG16" s="3"/>
      <c r="AH16" s="2" t="n">
        <f aca="false">IF(H16="ja",1,0)</f>
        <v>1</v>
      </c>
      <c r="AI16" s="2" t="n">
        <f aca="false">IF(J16="schoon",1,IF(J16="vuil",0.5,0))</f>
        <v>1</v>
      </c>
      <c r="AJ16" s="2" t="n">
        <f aca="false">K16/5</f>
        <v>0.8</v>
      </c>
      <c r="AK16" s="2" t="n">
        <f aca="false">IF(L16="ja",1,0)</f>
        <v>0</v>
      </c>
      <c r="AL16" s="2" t="n">
        <f aca="false">IF(M16="ja",1,0)</f>
        <v>1</v>
      </c>
      <c r="AM16" s="2" t="n">
        <f aca="false">IF(N16="ja",1,0)</f>
        <v>1</v>
      </c>
      <c r="AN16" s="2" t="n">
        <f aca="false">IF(O16="exact",1,0)</f>
        <v>0</v>
      </c>
      <c r="AO16" s="2" t="n">
        <f aca="false">IF(T16="ja",1,0)</f>
        <v>1</v>
      </c>
      <c r="AP16" s="2" t="n">
        <f aca="false">IF(U16="ja",1,0)</f>
        <v>0</v>
      </c>
      <c r="AQ16" s="2" t="n">
        <f aca="false">IF(V16="ja",1,0)</f>
        <v>0</v>
      </c>
      <c r="AR16" s="2" t="n">
        <f aca="false">IF(W16="Bennett",1,IF(W16="meting",0.5,0))</f>
        <v>0.5</v>
      </c>
      <c r="AS16" s="2" t="n">
        <f aca="false">IF(X16="ja",1,0)</f>
        <v>1</v>
      </c>
      <c r="AT16" s="2" t="n">
        <f aca="false">Z16/5</f>
        <v>1</v>
      </c>
      <c r="AU16" s="2" t="n">
        <f aca="false">AA16/5</f>
        <v>0.4</v>
      </c>
    </row>
    <row r="17" customFormat="false" ht="26.85" hidden="false" customHeight="false" outlineLevel="0" collapsed="false">
      <c r="A17" s="2" t="s">
        <v>351</v>
      </c>
      <c r="B17" s="5" t="s">
        <v>352</v>
      </c>
      <c r="C17" s="6" t="s">
        <v>114</v>
      </c>
      <c r="D17" s="6" t="s">
        <v>69</v>
      </c>
      <c r="E17" s="6" t="n">
        <v>2025</v>
      </c>
      <c r="F17" s="5" t="s">
        <v>353</v>
      </c>
      <c r="G17" s="6" t="s">
        <v>89</v>
      </c>
      <c r="H17" s="6" t="s">
        <v>76</v>
      </c>
      <c r="I17" s="6" t="n">
        <v>0</v>
      </c>
      <c r="J17" s="6" t="s">
        <v>90</v>
      </c>
      <c r="K17" s="6" t="n">
        <v>2</v>
      </c>
      <c r="L17" s="6" t="s">
        <v>76</v>
      </c>
      <c r="M17" s="6" t="s">
        <v>73</v>
      </c>
      <c r="N17" s="6" t="s">
        <v>73</v>
      </c>
      <c r="O17" s="6" t="s">
        <v>102</v>
      </c>
      <c r="P17" s="6" t="s">
        <v>348</v>
      </c>
      <c r="Q17" s="6" t="s">
        <v>79</v>
      </c>
      <c r="R17" s="6" t="s">
        <v>80</v>
      </c>
      <c r="S17" s="6" t="s">
        <v>79</v>
      </c>
      <c r="T17" s="6" t="s">
        <v>73</v>
      </c>
      <c r="U17" s="6" t="s">
        <v>76</v>
      </c>
      <c r="V17" s="6" t="s">
        <v>76</v>
      </c>
      <c r="W17" s="6" t="s">
        <v>105</v>
      </c>
      <c r="X17" s="6" t="s">
        <v>73</v>
      </c>
      <c r="Y17" s="6" t="s">
        <v>106</v>
      </c>
      <c r="Z17" s="6" t="n">
        <v>5</v>
      </c>
      <c r="AA17" s="6" t="n">
        <v>3</v>
      </c>
      <c r="AB17" s="6" t="s">
        <v>354</v>
      </c>
      <c r="AC17" s="6" t="s">
        <v>354</v>
      </c>
      <c r="AD17" s="6" t="s">
        <v>76</v>
      </c>
      <c r="AE17" s="6" t="s">
        <v>76</v>
      </c>
      <c r="AF17" s="5" t="s">
        <v>355</v>
      </c>
      <c r="AG17" s="3"/>
      <c r="AH17" s="2" t="n">
        <f aca="false">IF(H17="ja",1,0)</f>
        <v>0</v>
      </c>
      <c r="AI17" s="2" t="n">
        <f aca="false">IF(J17="schoon",1,IF(J17="vuil",0.5,0))</f>
        <v>0</v>
      </c>
      <c r="AJ17" s="2" t="n">
        <f aca="false">K17/5</f>
        <v>0.4</v>
      </c>
      <c r="AK17" s="2" t="n">
        <f aca="false">IF(L17="ja",1,0)</f>
        <v>0</v>
      </c>
      <c r="AL17" s="2" t="n">
        <f aca="false">IF(M17="ja",1,0)</f>
        <v>1</v>
      </c>
      <c r="AM17" s="2" t="n">
        <f aca="false">IF(N17="ja",1,0)</f>
        <v>1</v>
      </c>
      <c r="AN17" s="2" t="n">
        <f aca="false">IF(O17="exact",1,0)</f>
        <v>0</v>
      </c>
      <c r="AO17" s="2" t="n">
        <f aca="false">IF(T17="ja",1,0)</f>
        <v>1</v>
      </c>
      <c r="AP17" s="2" t="n">
        <f aca="false">IF(U17="ja",1,0)</f>
        <v>0</v>
      </c>
      <c r="AQ17" s="2" t="n">
        <f aca="false">IF(V17="ja",1,0)</f>
        <v>0</v>
      </c>
      <c r="AR17" s="2" t="n">
        <f aca="false">IF(W17="Bennett",1,IF(W17="meting",0.5,0))</f>
        <v>0.5</v>
      </c>
      <c r="AS17" s="2" t="n">
        <f aca="false">IF(X17="ja",1,0)</f>
        <v>1</v>
      </c>
      <c r="AT17" s="2" t="n">
        <f aca="false">Z17/5</f>
        <v>1</v>
      </c>
      <c r="AU17" s="2" t="n">
        <f aca="false">AA17/5</f>
        <v>0.6</v>
      </c>
    </row>
    <row r="18" customFormat="false" ht="15" hidden="false" customHeight="false" outlineLevel="0" collapsed="false">
      <c r="A18" s="2" t="s">
        <v>356</v>
      </c>
      <c r="B18" s="5" t="s">
        <v>357</v>
      </c>
      <c r="C18" s="6" t="s">
        <v>358</v>
      </c>
      <c r="D18" s="6" t="s">
        <v>69</v>
      </c>
      <c r="E18" s="6" t="n">
        <v>2017</v>
      </c>
      <c r="F18" s="5" t="s">
        <v>359</v>
      </c>
      <c r="G18" s="6" t="s">
        <v>100</v>
      </c>
      <c r="H18" s="6" t="s">
        <v>76</v>
      </c>
      <c r="I18" s="6" t="n">
        <v>0</v>
      </c>
      <c r="J18" s="6" t="s">
        <v>90</v>
      </c>
      <c r="K18" s="6" t="n">
        <v>1</v>
      </c>
      <c r="L18" s="6" t="s">
        <v>76</v>
      </c>
      <c r="M18" s="6" t="s">
        <v>76</v>
      </c>
      <c r="N18" s="6" t="s">
        <v>76</v>
      </c>
      <c r="O18" s="6" t="s">
        <v>77</v>
      </c>
      <c r="P18" s="6" t="s">
        <v>78</v>
      </c>
      <c r="Q18" s="6" t="s">
        <v>74</v>
      </c>
      <c r="R18" s="6" t="s">
        <v>74</v>
      </c>
      <c r="S18" s="6" t="s">
        <v>74</v>
      </c>
      <c r="T18" s="6" t="s">
        <v>73</v>
      </c>
      <c r="U18" s="6" t="s">
        <v>73</v>
      </c>
      <c r="V18" s="6" t="s">
        <v>76</v>
      </c>
      <c r="W18" s="6" t="s">
        <v>90</v>
      </c>
      <c r="X18" s="6" t="s">
        <v>76</v>
      </c>
      <c r="Y18" s="6" t="s">
        <v>82</v>
      </c>
      <c r="Z18" s="6" t="n">
        <v>2</v>
      </c>
      <c r="AA18" s="6" t="n">
        <v>5</v>
      </c>
      <c r="AB18" s="6" t="s">
        <v>354</v>
      </c>
      <c r="AC18" s="6" t="s">
        <v>354</v>
      </c>
      <c r="AD18" s="6" t="s">
        <v>76</v>
      </c>
      <c r="AE18" s="6" t="s">
        <v>76</v>
      </c>
      <c r="AF18" s="5" t="s">
        <v>360</v>
      </c>
      <c r="AG18" s="3"/>
      <c r="AH18" s="2" t="n">
        <f aca="false">IF(H18="ja",1,0)</f>
        <v>0</v>
      </c>
      <c r="AI18" s="2" t="n">
        <f aca="false">IF(J18="schoon",1,IF(J18="vuil",0.5,0))</f>
        <v>0</v>
      </c>
      <c r="AJ18" s="2" t="n">
        <f aca="false">K18/5</f>
        <v>0.2</v>
      </c>
      <c r="AK18" s="2" t="n">
        <f aca="false">IF(L18="ja",1,0)</f>
        <v>0</v>
      </c>
      <c r="AL18" s="2" t="n">
        <f aca="false">IF(M18="ja",1,0)</f>
        <v>0</v>
      </c>
      <c r="AM18" s="2" t="n">
        <f aca="false">IF(N18="ja",1,0)</f>
        <v>0</v>
      </c>
      <c r="AN18" s="2" t="n">
        <f aca="false">IF(O18="exact",1,0)</f>
        <v>1</v>
      </c>
      <c r="AO18" s="2" t="n">
        <f aca="false">IF(T18="ja",1,0)</f>
        <v>1</v>
      </c>
      <c r="AP18" s="2" t="n">
        <f aca="false">IF(U18="ja",1,0)</f>
        <v>1</v>
      </c>
      <c r="AQ18" s="2" t="n">
        <f aca="false">IF(V18="ja",1,0)</f>
        <v>0</v>
      </c>
      <c r="AR18" s="2" t="n">
        <f aca="false">IF(W18="Bennett",1,IF(W18="meting",0.5,0))</f>
        <v>0</v>
      </c>
      <c r="AS18" s="2" t="n">
        <f aca="false">IF(X18="ja",1,0)</f>
        <v>0</v>
      </c>
      <c r="AT18" s="2" t="n">
        <f aca="false">Z18/5</f>
        <v>0.4</v>
      </c>
      <c r="AU18" s="2" t="n">
        <f aca="false">AA18/5</f>
        <v>1</v>
      </c>
    </row>
    <row r="19" customFormat="false" ht="15" hidden="false" customHeight="false" outlineLevel="0" collapsed="false">
      <c r="A19" s="2" t="s">
        <v>361</v>
      </c>
      <c r="B19" s="5" t="s">
        <v>362</v>
      </c>
      <c r="C19" s="6" t="s">
        <v>358</v>
      </c>
      <c r="D19" s="6" t="s">
        <v>69</v>
      </c>
      <c r="E19" s="6" t="n">
        <v>2023</v>
      </c>
      <c r="F19" s="5" t="s">
        <v>363</v>
      </c>
      <c r="G19" s="6" t="s">
        <v>89</v>
      </c>
      <c r="H19" s="6" t="s">
        <v>76</v>
      </c>
      <c r="I19" s="6" t="n">
        <v>0</v>
      </c>
      <c r="J19" s="6" t="s">
        <v>90</v>
      </c>
      <c r="K19" s="6" t="n">
        <v>1</v>
      </c>
      <c r="L19" s="6" t="s">
        <v>76</v>
      </c>
      <c r="M19" s="6" t="s">
        <v>76</v>
      </c>
      <c r="N19" s="6" t="s">
        <v>76</v>
      </c>
      <c r="O19" s="6" t="s">
        <v>77</v>
      </c>
      <c r="P19" s="6" t="s">
        <v>78</v>
      </c>
      <c r="Q19" s="6" t="s">
        <v>74</v>
      </c>
      <c r="R19" s="6" t="s">
        <v>74</v>
      </c>
      <c r="S19" s="6" t="s">
        <v>74</v>
      </c>
      <c r="T19" s="6" t="s">
        <v>73</v>
      </c>
      <c r="U19" s="6" t="s">
        <v>73</v>
      </c>
      <c r="V19" s="6" t="s">
        <v>76</v>
      </c>
      <c r="W19" s="6" t="s">
        <v>90</v>
      </c>
      <c r="X19" s="6" t="s">
        <v>76</v>
      </c>
      <c r="Y19" s="6" t="s">
        <v>82</v>
      </c>
      <c r="Z19" s="6" t="n">
        <v>4</v>
      </c>
      <c r="AA19" s="6" t="n">
        <v>3</v>
      </c>
      <c r="AB19" s="6" t="s">
        <v>354</v>
      </c>
      <c r="AC19" s="6" t="s">
        <v>354</v>
      </c>
      <c r="AD19" s="6" t="s">
        <v>76</v>
      </c>
      <c r="AE19" s="6" t="s">
        <v>76</v>
      </c>
      <c r="AF19" s="5" t="s">
        <v>364</v>
      </c>
      <c r="AG19" s="3"/>
      <c r="AH19" s="2" t="n">
        <f aca="false">IF(H19="ja",1,0)</f>
        <v>0</v>
      </c>
      <c r="AI19" s="2" t="n">
        <f aca="false">IF(J19="schoon",1,IF(J19="vuil",0.5,0))</f>
        <v>0</v>
      </c>
      <c r="AJ19" s="2" t="n">
        <f aca="false">K19/5</f>
        <v>0.2</v>
      </c>
      <c r="AK19" s="2" t="n">
        <f aca="false">IF(L19="ja",1,0)</f>
        <v>0</v>
      </c>
      <c r="AL19" s="2" t="n">
        <f aca="false">IF(M19="ja",1,0)</f>
        <v>0</v>
      </c>
      <c r="AM19" s="2" t="n">
        <f aca="false">IF(N19="ja",1,0)</f>
        <v>0</v>
      </c>
      <c r="AN19" s="2" t="n">
        <f aca="false">IF(O19="exact",1,0)</f>
        <v>1</v>
      </c>
      <c r="AO19" s="2" t="n">
        <f aca="false">IF(T19="ja",1,0)</f>
        <v>1</v>
      </c>
      <c r="AP19" s="2" t="n">
        <f aca="false">IF(U19="ja",1,0)</f>
        <v>1</v>
      </c>
      <c r="AQ19" s="2" t="n">
        <f aca="false">IF(V19="ja",1,0)</f>
        <v>0</v>
      </c>
      <c r="AR19" s="2" t="n">
        <f aca="false">IF(W19="Bennett",1,IF(W19="meting",0.5,0))</f>
        <v>0</v>
      </c>
      <c r="AS19" s="2" t="n">
        <f aca="false">IF(X19="ja",1,0)</f>
        <v>0</v>
      </c>
      <c r="AT19" s="2" t="n">
        <f aca="false">Z19/5</f>
        <v>0.8</v>
      </c>
      <c r="AU19" s="2" t="n">
        <f aca="false">AA19/5</f>
        <v>0.6</v>
      </c>
    </row>
    <row r="20" customFormat="false" ht="26.85" hidden="false" customHeight="false" outlineLevel="0" collapsed="false">
      <c r="A20" s="2" t="s">
        <v>365</v>
      </c>
      <c r="B20" s="5" t="s">
        <v>366</v>
      </c>
      <c r="C20" s="6" t="s">
        <v>367</v>
      </c>
      <c r="D20" s="6" t="s">
        <v>69</v>
      </c>
      <c r="E20" s="6" t="n">
        <v>1987</v>
      </c>
      <c r="F20" s="5" t="s">
        <v>368</v>
      </c>
      <c r="G20" s="6" t="s">
        <v>100</v>
      </c>
      <c r="H20" s="6" t="s">
        <v>73</v>
      </c>
      <c r="I20" s="6" t="n">
        <v>-256</v>
      </c>
      <c r="J20" s="6" t="s">
        <v>90</v>
      </c>
      <c r="K20" s="6" t="n">
        <v>2</v>
      </c>
      <c r="L20" s="6" t="s">
        <v>76</v>
      </c>
      <c r="M20" s="6" t="s">
        <v>76</v>
      </c>
      <c r="N20" s="6" t="s">
        <v>76</v>
      </c>
      <c r="O20" s="6" t="s">
        <v>77</v>
      </c>
      <c r="P20" s="6" t="s">
        <v>78</v>
      </c>
      <c r="Q20" s="6" t="s">
        <v>74</v>
      </c>
      <c r="R20" s="6" t="s">
        <v>80</v>
      </c>
      <c r="S20" s="6" t="s">
        <v>74</v>
      </c>
      <c r="T20" s="6" t="s">
        <v>73</v>
      </c>
      <c r="U20" s="6" t="s">
        <v>76</v>
      </c>
      <c r="V20" s="6" t="s">
        <v>76</v>
      </c>
      <c r="W20" s="6" t="s">
        <v>90</v>
      </c>
      <c r="X20" s="6" t="s">
        <v>76</v>
      </c>
      <c r="Y20" s="6" t="s">
        <v>82</v>
      </c>
      <c r="Z20" s="6" t="n">
        <v>4</v>
      </c>
      <c r="AA20" s="6" t="n">
        <v>2</v>
      </c>
      <c r="AB20" s="6" t="s">
        <v>354</v>
      </c>
      <c r="AC20" s="6" t="s">
        <v>354</v>
      </c>
      <c r="AD20" s="6" t="s">
        <v>76</v>
      </c>
      <c r="AE20" s="6" t="s">
        <v>76</v>
      </c>
      <c r="AF20" s="5" t="s">
        <v>369</v>
      </c>
      <c r="AG20" s="3"/>
      <c r="AH20" s="2" t="n">
        <f aca="false">IF(H20="ja",1,0)</f>
        <v>1</v>
      </c>
      <c r="AI20" s="2" t="n">
        <f aca="false">IF(J20="schoon",1,IF(J20="vuil",0.5,0))</f>
        <v>0</v>
      </c>
      <c r="AJ20" s="2" t="n">
        <f aca="false">K20/5</f>
        <v>0.4</v>
      </c>
      <c r="AK20" s="2" t="n">
        <f aca="false">IF(L20="ja",1,0)</f>
        <v>0</v>
      </c>
      <c r="AL20" s="2" t="n">
        <f aca="false">IF(M20="ja",1,0)</f>
        <v>0</v>
      </c>
      <c r="AM20" s="2" t="n">
        <f aca="false">IF(N20="ja",1,0)</f>
        <v>0</v>
      </c>
      <c r="AN20" s="2" t="n">
        <f aca="false">IF(O20="exact",1,0)</f>
        <v>1</v>
      </c>
      <c r="AO20" s="2" t="n">
        <f aca="false">IF(T20="ja",1,0)</f>
        <v>1</v>
      </c>
      <c r="AP20" s="2" t="n">
        <f aca="false">IF(U20="ja",1,0)</f>
        <v>0</v>
      </c>
      <c r="AQ20" s="2" t="n">
        <f aca="false">IF(V20="ja",1,0)</f>
        <v>0</v>
      </c>
      <c r="AR20" s="2" t="n">
        <f aca="false">IF(W20="Bennett",1,IF(W20="meting",0.5,0))</f>
        <v>0</v>
      </c>
      <c r="AS20" s="2" t="n">
        <f aca="false">IF(X20="ja",1,0)</f>
        <v>0</v>
      </c>
      <c r="AT20" s="2" t="n">
        <f aca="false">Z20/5</f>
        <v>0.8</v>
      </c>
      <c r="AU20" s="2" t="n">
        <f aca="false">AA20/5</f>
        <v>0.4</v>
      </c>
    </row>
    <row r="21" customFormat="false" ht="15" hidden="false" customHeight="false" outlineLevel="0" collapsed="false">
      <c r="A21" s="2" t="s">
        <v>370</v>
      </c>
      <c r="B21" s="5" t="s">
        <v>371</v>
      </c>
      <c r="C21" s="6" t="s">
        <v>367</v>
      </c>
      <c r="D21" s="6" t="s">
        <v>69</v>
      </c>
      <c r="E21" s="6" t="n">
        <v>1986</v>
      </c>
      <c r="F21" s="5" t="s">
        <v>372</v>
      </c>
      <c r="G21" s="6" t="s">
        <v>89</v>
      </c>
      <c r="H21" s="6" t="s">
        <v>73</v>
      </c>
      <c r="I21" s="6" t="n">
        <v>512</v>
      </c>
      <c r="J21" s="6" t="s">
        <v>90</v>
      </c>
      <c r="K21" s="6" t="n">
        <v>2</v>
      </c>
      <c r="L21" s="6" t="s">
        <v>76</v>
      </c>
      <c r="M21" s="6" t="s">
        <v>76</v>
      </c>
      <c r="N21" s="6" t="s">
        <v>76</v>
      </c>
      <c r="O21" s="6" t="s">
        <v>77</v>
      </c>
      <c r="P21" s="6" t="s">
        <v>78</v>
      </c>
      <c r="Q21" s="6" t="s">
        <v>79</v>
      </c>
      <c r="R21" s="6" t="s">
        <v>80</v>
      </c>
      <c r="S21" s="6" t="s">
        <v>79</v>
      </c>
      <c r="T21" s="6" t="s">
        <v>73</v>
      </c>
      <c r="U21" s="6" t="s">
        <v>76</v>
      </c>
      <c r="V21" s="6" t="s">
        <v>76</v>
      </c>
      <c r="W21" s="6" t="s">
        <v>90</v>
      </c>
      <c r="X21" s="6" t="s">
        <v>76</v>
      </c>
      <c r="Y21" s="6" t="s">
        <v>82</v>
      </c>
      <c r="Z21" s="6" t="n">
        <v>3</v>
      </c>
      <c r="AA21" s="6" t="n">
        <v>5</v>
      </c>
      <c r="AB21" s="6" t="s">
        <v>354</v>
      </c>
      <c r="AC21" s="6" t="s">
        <v>354</v>
      </c>
      <c r="AD21" s="6" t="s">
        <v>76</v>
      </c>
      <c r="AE21" s="6" t="s">
        <v>76</v>
      </c>
      <c r="AF21" s="5" t="s">
        <v>373</v>
      </c>
      <c r="AG21" s="3"/>
      <c r="AH21" s="2" t="n">
        <f aca="false">IF(H21="ja",1,0)</f>
        <v>1</v>
      </c>
      <c r="AI21" s="2" t="n">
        <f aca="false">IF(J21="schoon",1,IF(J21="vuil",0.5,0))</f>
        <v>0</v>
      </c>
      <c r="AJ21" s="2" t="n">
        <f aca="false">K21/5</f>
        <v>0.4</v>
      </c>
      <c r="AK21" s="2" t="n">
        <f aca="false">IF(L21="ja",1,0)</f>
        <v>0</v>
      </c>
      <c r="AL21" s="2" t="n">
        <f aca="false">IF(M21="ja",1,0)</f>
        <v>0</v>
      </c>
      <c r="AM21" s="2" t="n">
        <f aca="false">IF(N21="ja",1,0)</f>
        <v>0</v>
      </c>
      <c r="AN21" s="2" t="n">
        <f aca="false">IF(O21="exact",1,0)</f>
        <v>1</v>
      </c>
      <c r="AO21" s="2" t="n">
        <f aca="false">IF(T21="ja",1,0)</f>
        <v>1</v>
      </c>
      <c r="AP21" s="2" t="n">
        <f aca="false">IF(U21="ja",1,0)</f>
        <v>0</v>
      </c>
      <c r="AQ21" s="2" t="n">
        <f aca="false">IF(V21="ja",1,0)</f>
        <v>0</v>
      </c>
      <c r="AR21" s="2" t="n">
        <f aca="false">IF(W21="Bennett",1,IF(W21="meting",0.5,0))</f>
        <v>0</v>
      </c>
      <c r="AS21" s="2" t="n">
        <f aca="false">IF(X21="ja",1,0)</f>
        <v>0</v>
      </c>
      <c r="AT21" s="2" t="n">
        <f aca="false">Z21/5</f>
        <v>0.6</v>
      </c>
      <c r="AU21" s="2" t="n">
        <f aca="false">AA21/5</f>
        <v>1</v>
      </c>
    </row>
    <row r="22" customFormat="false" ht="26.85" hidden="false" customHeight="false" outlineLevel="0" collapsed="false">
      <c r="A22" s="2" t="s">
        <v>374</v>
      </c>
      <c r="B22" s="5" t="s">
        <v>375</v>
      </c>
      <c r="C22" s="6" t="s">
        <v>358</v>
      </c>
      <c r="D22" s="6" t="s">
        <v>69</v>
      </c>
      <c r="E22" s="6" t="n">
        <v>2026</v>
      </c>
      <c r="F22" s="5" t="s">
        <v>376</v>
      </c>
      <c r="G22" s="6" t="s">
        <v>89</v>
      </c>
      <c r="H22" s="6" t="s">
        <v>76</v>
      </c>
      <c r="I22" s="6" t="n">
        <v>0</v>
      </c>
      <c r="J22" s="6" t="s">
        <v>90</v>
      </c>
      <c r="K22" s="6" t="n">
        <v>2</v>
      </c>
      <c r="L22" s="6" t="s">
        <v>76</v>
      </c>
      <c r="M22" s="6" t="s">
        <v>73</v>
      </c>
      <c r="N22" s="6" t="s">
        <v>73</v>
      </c>
      <c r="O22" s="6" t="s">
        <v>102</v>
      </c>
      <c r="P22" s="6" t="s">
        <v>377</v>
      </c>
      <c r="Q22" s="6" t="s">
        <v>74</v>
      </c>
      <c r="R22" s="6" t="s">
        <v>74</v>
      </c>
      <c r="S22" s="6" t="s">
        <v>74</v>
      </c>
      <c r="T22" s="6" t="s">
        <v>73</v>
      </c>
      <c r="U22" s="6" t="s">
        <v>76</v>
      </c>
      <c r="V22" s="6" t="s">
        <v>76</v>
      </c>
      <c r="W22" s="6" t="s">
        <v>105</v>
      </c>
      <c r="X22" s="6" t="s">
        <v>76</v>
      </c>
      <c r="Y22" s="6" t="s">
        <v>106</v>
      </c>
      <c r="Z22" s="6" t="n">
        <v>4</v>
      </c>
      <c r="AA22" s="6" t="n">
        <v>2</v>
      </c>
      <c r="AB22" s="6" t="s">
        <v>354</v>
      </c>
      <c r="AC22" s="6" t="s">
        <v>354</v>
      </c>
      <c r="AD22" s="6" t="s">
        <v>76</v>
      </c>
      <c r="AE22" s="6" t="s">
        <v>76</v>
      </c>
      <c r="AF22" s="5" t="s">
        <v>378</v>
      </c>
      <c r="AG22" s="3"/>
      <c r="AH22" s="2" t="n">
        <f aca="false">IF(H22="ja",1,0)</f>
        <v>0</v>
      </c>
      <c r="AI22" s="2" t="n">
        <f aca="false">IF(J22="schoon",1,IF(J22="vuil",0.5,0))</f>
        <v>0</v>
      </c>
      <c r="AJ22" s="2" t="n">
        <f aca="false">K22/5</f>
        <v>0.4</v>
      </c>
      <c r="AK22" s="2" t="n">
        <f aca="false">IF(L22="ja",1,0)</f>
        <v>0</v>
      </c>
      <c r="AL22" s="2" t="n">
        <f aca="false">IF(M22="ja",1,0)</f>
        <v>1</v>
      </c>
      <c r="AM22" s="2" t="n">
        <f aca="false">IF(N22="ja",1,0)</f>
        <v>1</v>
      </c>
      <c r="AN22" s="2" t="n">
        <f aca="false">IF(O22="exact",1,0)</f>
        <v>0</v>
      </c>
      <c r="AO22" s="2" t="n">
        <f aca="false">IF(T22="ja",1,0)</f>
        <v>1</v>
      </c>
      <c r="AP22" s="2" t="n">
        <f aca="false">IF(U22="ja",1,0)</f>
        <v>0</v>
      </c>
      <c r="AQ22" s="2" t="n">
        <f aca="false">IF(V22="ja",1,0)</f>
        <v>0</v>
      </c>
      <c r="AR22" s="2" t="n">
        <f aca="false">IF(W22="Bennett",1,IF(W22="meting",0.5,0))</f>
        <v>0.5</v>
      </c>
      <c r="AS22" s="2" t="n">
        <f aca="false">IF(X22="ja",1,0)</f>
        <v>0</v>
      </c>
      <c r="AT22" s="2" t="n">
        <f aca="false">Z22/5</f>
        <v>0.8</v>
      </c>
      <c r="AU22" s="2" t="n">
        <f aca="false">AA22/5</f>
        <v>0.4</v>
      </c>
    </row>
    <row r="23" customFormat="false" ht="15" hidden="false" customHeight="false" outlineLevel="0" collapsed="false">
      <c r="A23" s="2" t="s">
        <v>379</v>
      </c>
      <c r="B23" s="5" t="s">
        <v>380</v>
      </c>
      <c r="C23" s="6" t="s">
        <v>367</v>
      </c>
      <c r="D23" s="6" t="s">
        <v>69</v>
      </c>
      <c r="E23" s="6" t="n">
        <v>2001</v>
      </c>
      <c r="F23" s="5" t="s">
        <v>381</v>
      </c>
      <c r="G23" s="6" t="s">
        <v>89</v>
      </c>
      <c r="H23" s="6" t="s">
        <v>76</v>
      </c>
      <c r="I23" s="6" t="n">
        <v>0</v>
      </c>
      <c r="J23" s="6" t="s">
        <v>90</v>
      </c>
      <c r="K23" s="6" t="n">
        <v>1</v>
      </c>
      <c r="L23" s="6" t="s">
        <v>76</v>
      </c>
      <c r="M23" s="6" t="s">
        <v>76</v>
      </c>
      <c r="N23" s="6" t="s">
        <v>76</v>
      </c>
      <c r="O23" s="6" t="s">
        <v>77</v>
      </c>
      <c r="P23" s="6" t="s">
        <v>78</v>
      </c>
      <c r="Q23" s="6" t="s">
        <v>80</v>
      </c>
      <c r="R23" s="6" t="s">
        <v>78</v>
      </c>
      <c r="S23" s="6" t="s">
        <v>104</v>
      </c>
      <c r="T23" s="6" t="s">
        <v>73</v>
      </c>
      <c r="U23" s="6" t="s">
        <v>76</v>
      </c>
      <c r="V23" s="6" t="s">
        <v>76</v>
      </c>
      <c r="W23" s="6" t="s">
        <v>90</v>
      </c>
      <c r="X23" s="6" t="s">
        <v>73</v>
      </c>
      <c r="Y23" s="6" t="s">
        <v>82</v>
      </c>
      <c r="Z23" s="6" t="n">
        <v>2</v>
      </c>
      <c r="AA23" s="6" t="n">
        <v>5</v>
      </c>
      <c r="AB23" s="6" t="s">
        <v>354</v>
      </c>
      <c r="AC23" s="6" t="s">
        <v>354</v>
      </c>
      <c r="AD23" s="6" t="s">
        <v>76</v>
      </c>
      <c r="AE23" s="6" t="s">
        <v>76</v>
      </c>
      <c r="AF23" s="5" t="s">
        <v>382</v>
      </c>
      <c r="AG23" s="3"/>
      <c r="AH23" s="2" t="n">
        <f aca="false">IF(H23="ja",1,0)</f>
        <v>0</v>
      </c>
      <c r="AI23" s="2" t="n">
        <f aca="false">IF(J23="schoon",1,IF(J23="vuil",0.5,0))</f>
        <v>0</v>
      </c>
      <c r="AJ23" s="2" t="n">
        <f aca="false">K23/5</f>
        <v>0.2</v>
      </c>
      <c r="AK23" s="2" t="n">
        <f aca="false">IF(L23="ja",1,0)</f>
        <v>0</v>
      </c>
      <c r="AL23" s="2" t="n">
        <f aca="false">IF(M23="ja",1,0)</f>
        <v>0</v>
      </c>
      <c r="AM23" s="2" t="n">
        <f aca="false">IF(N23="ja",1,0)</f>
        <v>0</v>
      </c>
      <c r="AN23" s="2" t="n">
        <f aca="false">IF(O23="exact",1,0)</f>
        <v>1</v>
      </c>
      <c r="AO23" s="2" t="n">
        <f aca="false">IF(T23="ja",1,0)</f>
        <v>1</v>
      </c>
      <c r="AP23" s="2" t="n">
        <f aca="false">IF(U23="ja",1,0)</f>
        <v>0</v>
      </c>
      <c r="AQ23" s="2" t="n">
        <f aca="false">IF(V23="ja",1,0)</f>
        <v>0</v>
      </c>
      <c r="AR23" s="2" t="n">
        <f aca="false">IF(W23="Bennett",1,IF(W23="meting",0.5,0))</f>
        <v>0</v>
      </c>
      <c r="AS23" s="2" t="n">
        <f aca="false">IF(X23="ja",1,0)</f>
        <v>1</v>
      </c>
      <c r="AT23" s="2" t="n">
        <f aca="false">Z23/5</f>
        <v>0.4</v>
      </c>
      <c r="AU23" s="2" t="n">
        <f aca="false">AA23/5</f>
        <v>1</v>
      </c>
    </row>
    <row r="24" customFormat="false" ht="15" hidden="false" customHeight="false" outlineLevel="0" collapsed="false">
      <c r="A24" s="2" t="s">
        <v>383</v>
      </c>
      <c r="B24" s="5" t="s">
        <v>384</v>
      </c>
      <c r="C24" s="6" t="s">
        <v>173</v>
      </c>
      <c r="D24" s="6" t="s">
        <v>152</v>
      </c>
      <c r="E24" s="6" t="n">
        <v>2000</v>
      </c>
      <c r="F24" s="5" t="s">
        <v>385</v>
      </c>
      <c r="G24" s="6" t="s">
        <v>100</v>
      </c>
      <c r="H24" s="6" t="s">
        <v>76</v>
      </c>
      <c r="I24" s="6" t="n">
        <v>-50</v>
      </c>
      <c r="J24" s="6" t="s">
        <v>90</v>
      </c>
      <c r="K24" s="6" t="n">
        <v>4</v>
      </c>
      <c r="L24" s="6" t="s">
        <v>73</v>
      </c>
      <c r="M24" s="6" t="s">
        <v>76</v>
      </c>
      <c r="N24" s="6" t="s">
        <v>76</v>
      </c>
      <c r="O24" s="6" t="s">
        <v>77</v>
      </c>
      <c r="P24" s="6" t="s">
        <v>78</v>
      </c>
      <c r="Q24" s="6" t="s">
        <v>386</v>
      </c>
      <c r="R24" s="6" t="s">
        <v>80</v>
      </c>
      <c r="S24" s="6" t="s">
        <v>80</v>
      </c>
      <c r="T24" s="6" t="s">
        <v>76</v>
      </c>
      <c r="U24" s="6" t="s">
        <v>73</v>
      </c>
      <c r="V24" s="6" t="s">
        <v>76</v>
      </c>
      <c r="W24" s="6" t="s">
        <v>90</v>
      </c>
      <c r="X24" s="6" t="s">
        <v>76</v>
      </c>
      <c r="Y24" s="6" t="s">
        <v>153</v>
      </c>
      <c r="Z24" s="6" t="n">
        <v>3</v>
      </c>
      <c r="AA24" s="6" t="n">
        <v>5</v>
      </c>
      <c r="AB24" s="6" t="s">
        <v>354</v>
      </c>
      <c r="AC24" s="6" t="s">
        <v>354</v>
      </c>
      <c r="AD24" s="6" t="s">
        <v>76</v>
      </c>
      <c r="AE24" s="6" t="s">
        <v>76</v>
      </c>
      <c r="AF24" s="5" t="s">
        <v>387</v>
      </c>
      <c r="AG24" s="3"/>
      <c r="AH24" s="2" t="n">
        <f aca="false">IF(H24="ja",1,0)</f>
        <v>0</v>
      </c>
      <c r="AI24" s="2" t="n">
        <f aca="false">IF(J24="schoon",1,IF(J24="vuil",0.5,0))</f>
        <v>0</v>
      </c>
      <c r="AJ24" s="2" t="n">
        <f aca="false">K24/5</f>
        <v>0.8</v>
      </c>
      <c r="AK24" s="2" t="n">
        <f aca="false">IF(L24="ja",1,0)</f>
        <v>1</v>
      </c>
      <c r="AL24" s="2" t="n">
        <f aca="false">IF(M24="ja",1,0)</f>
        <v>0</v>
      </c>
      <c r="AM24" s="2" t="n">
        <f aca="false">IF(N24="ja",1,0)</f>
        <v>0</v>
      </c>
      <c r="AN24" s="2" t="n">
        <f aca="false">IF(O24="exact",1,0)</f>
        <v>1</v>
      </c>
      <c r="AO24" s="2" t="n">
        <f aca="false">IF(T24="ja",1,0)</f>
        <v>0</v>
      </c>
      <c r="AP24" s="2" t="n">
        <f aca="false">IF(U24="ja",1,0)</f>
        <v>1</v>
      </c>
      <c r="AQ24" s="2" t="n">
        <f aca="false">IF(V24="ja",1,0)</f>
        <v>0</v>
      </c>
      <c r="AR24" s="2" t="n">
        <f aca="false">IF(W24="Bennett",1,IF(W24="meting",0.5,0))</f>
        <v>0</v>
      </c>
      <c r="AS24" s="2" t="n">
        <f aca="false">IF(X24="ja",1,0)</f>
        <v>0</v>
      </c>
      <c r="AT24" s="2" t="n">
        <f aca="false">Z24/5</f>
        <v>0.6</v>
      </c>
      <c r="AU24" s="2" t="n">
        <f aca="false">AA24/5</f>
        <v>1</v>
      </c>
    </row>
    <row r="25" customFormat="false" ht="26.85" hidden="false" customHeight="false" outlineLevel="0" collapsed="false">
      <c r="A25" s="2" t="s">
        <v>388</v>
      </c>
      <c r="B25" s="5" t="s">
        <v>389</v>
      </c>
      <c r="C25" s="6" t="s">
        <v>173</v>
      </c>
      <c r="D25" s="6" t="s">
        <v>152</v>
      </c>
      <c r="E25" s="6" t="n">
        <v>2018</v>
      </c>
      <c r="F25" s="5" t="s">
        <v>390</v>
      </c>
      <c r="G25" s="6" t="s">
        <v>89</v>
      </c>
      <c r="H25" s="6" t="s">
        <v>73</v>
      </c>
      <c r="I25" s="6" t="n">
        <v>30</v>
      </c>
      <c r="J25" s="6" t="s">
        <v>75</v>
      </c>
      <c r="K25" s="6" t="n">
        <v>3</v>
      </c>
      <c r="L25" s="6" t="s">
        <v>73</v>
      </c>
      <c r="M25" s="6" t="s">
        <v>76</v>
      </c>
      <c r="N25" s="6" t="s">
        <v>76</v>
      </c>
      <c r="O25" s="6" t="s">
        <v>102</v>
      </c>
      <c r="P25" s="6" t="s">
        <v>391</v>
      </c>
      <c r="Q25" s="6" t="s">
        <v>80</v>
      </c>
      <c r="R25" s="6" t="s">
        <v>80</v>
      </c>
      <c r="S25" s="6" t="s">
        <v>80</v>
      </c>
      <c r="T25" s="6" t="s">
        <v>76</v>
      </c>
      <c r="U25" s="6" t="s">
        <v>73</v>
      </c>
      <c r="V25" s="6" t="s">
        <v>76</v>
      </c>
      <c r="W25" s="6" t="s">
        <v>90</v>
      </c>
      <c r="X25" s="6" t="s">
        <v>76</v>
      </c>
      <c r="Y25" s="6" t="s">
        <v>153</v>
      </c>
      <c r="Z25" s="6" t="n">
        <v>3</v>
      </c>
      <c r="AA25" s="6" t="n">
        <v>4</v>
      </c>
      <c r="AB25" s="6" t="s">
        <v>354</v>
      </c>
      <c r="AC25" s="6" t="s">
        <v>354</v>
      </c>
      <c r="AD25" s="6" t="s">
        <v>76</v>
      </c>
      <c r="AE25" s="6" t="s">
        <v>76</v>
      </c>
      <c r="AF25" s="5" t="s">
        <v>392</v>
      </c>
      <c r="AG25" s="3"/>
      <c r="AH25" s="2" t="n">
        <f aca="false">IF(H25="ja",1,0)</f>
        <v>1</v>
      </c>
      <c r="AI25" s="2" t="n">
        <f aca="false">IF(J25="schoon",1,IF(J25="vuil",0.5,0))</f>
        <v>1</v>
      </c>
      <c r="AJ25" s="2" t="n">
        <f aca="false">K25/5</f>
        <v>0.6</v>
      </c>
      <c r="AK25" s="2" t="n">
        <f aca="false">IF(L25="ja",1,0)</f>
        <v>1</v>
      </c>
      <c r="AL25" s="2" t="n">
        <f aca="false">IF(M25="ja",1,0)</f>
        <v>0</v>
      </c>
      <c r="AM25" s="2" t="n">
        <f aca="false">IF(N25="ja",1,0)</f>
        <v>0</v>
      </c>
      <c r="AN25" s="2" t="n">
        <f aca="false">IF(O25="exact",1,0)</f>
        <v>0</v>
      </c>
      <c r="AO25" s="2" t="n">
        <f aca="false">IF(T25="ja",1,0)</f>
        <v>0</v>
      </c>
      <c r="AP25" s="2" t="n">
        <f aca="false">IF(U25="ja",1,0)</f>
        <v>1</v>
      </c>
      <c r="AQ25" s="2" t="n">
        <f aca="false">IF(V25="ja",1,0)</f>
        <v>0</v>
      </c>
      <c r="AR25" s="2" t="n">
        <f aca="false">IF(W25="Bennett",1,IF(W25="meting",0.5,0))</f>
        <v>0</v>
      </c>
      <c r="AS25" s="2" t="n">
        <f aca="false">IF(X25="ja",1,0)</f>
        <v>0</v>
      </c>
      <c r="AT25" s="2" t="n">
        <f aca="false">Z25/5</f>
        <v>0.6</v>
      </c>
      <c r="AU25" s="2" t="n">
        <f aca="false">AA25/5</f>
        <v>0.8</v>
      </c>
    </row>
    <row r="26" customFormat="false" ht="26.85" hidden="false" customHeight="false" outlineLevel="0" collapsed="false">
      <c r="A26" s="2" t="s">
        <v>393</v>
      </c>
      <c r="B26" s="5" t="s">
        <v>394</v>
      </c>
      <c r="C26" s="6" t="s">
        <v>173</v>
      </c>
      <c r="D26" s="6" t="s">
        <v>87</v>
      </c>
      <c r="E26" s="6" t="n">
        <v>2004</v>
      </c>
      <c r="F26" s="5" t="s">
        <v>395</v>
      </c>
      <c r="G26" s="6" t="s">
        <v>341</v>
      </c>
      <c r="H26" s="6" t="s">
        <v>73</v>
      </c>
      <c r="I26" s="6" t="n">
        <v>256</v>
      </c>
      <c r="J26" s="6" t="s">
        <v>75</v>
      </c>
      <c r="K26" s="6" t="n">
        <v>1</v>
      </c>
      <c r="L26" s="6" t="s">
        <v>76</v>
      </c>
      <c r="M26" s="6" t="s">
        <v>76</v>
      </c>
      <c r="N26" s="6" t="s">
        <v>76</v>
      </c>
      <c r="O26" s="6" t="s">
        <v>77</v>
      </c>
      <c r="P26" s="6" t="s">
        <v>78</v>
      </c>
      <c r="Q26" s="6" t="s">
        <v>80</v>
      </c>
      <c r="R26" s="6" t="s">
        <v>80</v>
      </c>
      <c r="S26" s="6" t="s">
        <v>396</v>
      </c>
      <c r="T26" s="6" t="s">
        <v>73</v>
      </c>
      <c r="U26" s="6" t="s">
        <v>76</v>
      </c>
      <c r="V26" s="6" t="s">
        <v>76</v>
      </c>
      <c r="W26" s="6" t="s">
        <v>81</v>
      </c>
      <c r="X26" s="6" t="s">
        <v>76</v>
      </c>
      <c r="Y26" s="6" t="s">
        <v>82</v>
      </c>
      <c r="Z26" s="6" t="n">
        <v>3</v>
      </c>
      <c r="AA26" s="6" t="n">
        <v>5</v>
      </c>
      <c r="AB26" s="6" t="n">
        <v>8</v>
      </c>
      <c r="AC26" s="6" t="n">
        <v>256</v>
      </c>
      <c r="AD26" s="6" t="s">
        <v>76</v>
      </c>
      <c r="AE26" s="6" t="s">
        <v>76</v>
      </c>
      <c r="AF26" s="5" t="s">
        <v>397</v>
      </c>
      <c r="AG26" s="3"/>
      <c r="AH26" s="2" t="n">
        <f aca="false">IF(H26="ja",1,0)</f>
        <v>1</v>
      </c>
      <c r="AI26" s="2" t="n">
        <f aca="false">IF(J26="schoon",1,IF(J26="vuil",0.5,0))</f>
        <v>1</v>
      </c>
      <c r="AJ26" s="2" t="n">
        <f aca="false">K26/5</f>
        <v>0.2</v>
      </c>
      <c r="AK26" s="2" t="n">
        <f aca="false">IF(L26="ja",1,0)</f>
        <v>0</v>
      </c>
      <c r="AL26" s="2" t="n">
        <f aca="false">IF(M26="ja",1,0)</f>
        <v>0</v>
      </c>
      <c r="AM26" s="2" t="n">
        <f aca="false">IF(N26="ja",1,0)</f>
        <v>0</v>
      </c>
      <c r="AN26" s="2" t="n">
        <f aca="false">IF(O26="exact",1,0)</f>
        <v>1</v>
      </c>
      <c r="AO26" s="2" t="n">
        <f aca="false">IF(T26="ja",1,0)</f>
        <v>1</v>
      </c>
      <c r="AP26" s="2" t="n">
        <f aca="false">IF(U26="ja",1,0)</f>
        <v>0</v>
      </c>
      <c r="AQ26" s="2" t="n">
        <f aca="false">IF(V26="ja",1,0)</f>
        <v>0</v>
      </c>
      <c r="AR26" s="2" t="n">
        <f aca="false">IF(W26="Bennett",1,IF(W26="meting",0.5,0))</f>
        <v>1</v>
      </c>
      <c r="AS26" s="2" t="n">
        <f aca="false">IF(X26="ja",1,0)</f>
        <v>0</v>
      </c>
      <c r="AT26" s="2" t="n">
        <f aca="false">Z26/5</f>
        <v>0.6</v>
      </c>
      <c r="AU26" s="2" t="n">
        <f aca="false">AA26/5</f>
        <v>1</v>
      </c>
    </row>
    <row r="27" customFormat="false" ht="26.85" hidden="false" customHeight="false" outlineLevel="0" collapsed="false">
      <c r="A27" s="2" t="s">
        <v>398</v>
      </c>
      <c r="B27" s="5" t="s">
        <v>399</v>
      </c>
      <c r="C27" s="6" t="s">
        <v>173</v>
      </c>
      <c r="D27" s="6" t="s">
        <v>87</v>
      </c>
      <c r="E27" s="6" t="n">
        <v>2004</v>
      </c>
      <c r="F27" s="5" t="s">
        <v>400</v>
      </c>
      <c r="G27" s="6" t="s">
        <v>100</v>
      </c>
      <c r="H27" s="6" t="s">
        <v>73</v>
      </c>
      <c r="I27" s="6" t="n">
        <v>-250</v>
      </c>
      <c r="J27" s="6" t="s">
        <v>75</v>
      </c>
      <c r="K27" s="6" t="n">
        <v>2</v>
      </c>
      <c r="L27" s="6" t="s">
        <v>76</v>
      </c>
      <c r="M27" s="6" t="s">
        <v>76</v>
      </c>
      <c r="N27" s="6" t="s">
        <v>76</v>
      </c>
      <c r="O27" s="6" t="s">
        <v>77</v>
      </c>
      <c r="P27" s="6" t="s">
        <v>78</v>
      </c>
      <c r="Q27" s="6" t="s">
        <v>401</v>
      </c>
      <c r="R27" s="6" t="s">
        <v>104</v>
      </c>
      <c r="S27" s="6" t="s">
        <v>80</v>
      </c>
      <c r="T27" s="6" t="s">
        <v>73</v>
      </c>
      <c r="U27" s="6" t="s">
        <v>76</v>
      </c>
      <c r="V27" s="6" t="s">
        <v>76</v>
      </c>
      <c r="W27" s="6" t="s">
        <v>81</v>
      </c>
      <c r="X27" s="6" t="s">
        <v>76</v>
      </c>
      <c r="Y27" s="6" t="s">
        <v>82</v>
      </c>
      <c r="Z27" s="6" t="n">
        <v>1</v>
      </c>
      <c r="AA27" s="6" t="n">
        <v>5</v>
      </c>
      <c r="AB27" s="6" t="n">
        <v>25</v>
      </c>
      <c r="AC27" s="6" t="n">
        <v>-60</v>
      </c>
      <c r="AD27" s="6" t="s">
        <v>76</v>
      </c>
      <c r="AE27" s="6" t="s">
        <v>73</v>
      </c>
      <c r="AF27" s="5" t="s">
        <v>402</v>
      </c>
      <c r="AG27" s="3"/>
      <c r="AH27" s="2" t="n">
        <f aca="false">IF(H27="ja",1,0)</f>
        <v>1</v>
      </c>
      <c r="AI27" s="2" t="n">
        <f aca="false">IF(J27="schoon",1,IF(J27="vuil",0.5,0))</f>
        <v>1</v>
      </c>
      <c r="AJ27" s="2" t="n">
        <f aca="false">K27/5</f>
        <v>0.4</v>
      </c>
      <c r="AK27" s="2" t="n">
        <f aca="false">IF(L27="ja",1,0)</f>
        <v>0</v>
      </c>
      <c r="AL27" s="2" t="n">
        <f aca="false">IF(M27="ja",1,0)</f>
        <v>0</v>
      </c>
      <c r="AM27" s="2" t="n">
        <f aca="false">IF(N27="ja",1,0)</f>
        <v>0</v>
      </c>
      <c r="AN27" s="2" t="n">
        <f aca="false">IF(O27="exact",1,0)</f>
        <v>1</v>
      </c>
      <c r="AO27" s="2" t="n">
        <f aca="false">IF(T27="ja",1,0)</f>
        <v>1</v>
      </c>
      <c r="AP27" s="2" t="n">
        <f aca="false">IF(U27="ja",1,0)</f>
        <v>0</v>
      </c>
      <c r="AQ27" s="2" t="n">
        <f aca="false">IF(V27="ja",1,0)</f>
        <v>0</v>
      </c>
      <c r="AR27" s="2" t="n">
        <f aca="false">IF(W27="Bennett",1,IF(W27="meting",0.5,0))</f>
        <v>1</v>
      </c>
      <c r="AS27" s="2" t="n">
        <f aca="false">IF(X27="ja",1,0)</f>
        <v>0</v>
      </c>
      <c r="AT27" s="2" t="n">
        <f aca="false">Z27/5</f>
        <v>0.2</v>
      </c>
      <c r="AU27" s="2" t="n">
        <f aca="false">AA27/5</f>
        <v>1</v>
      </c>
    </row>
    <row r="28" customFormat="false" ht="15" hidden="false" customHeight="false" outlineLevel="0" collapsed="false">
      <c r="A28" s="2" t="s">
        <v>403</v>
      </c>
      <c r="B28" s="5" t="s">
        <v>404</v>
      </c>
      <c r="C28" s="6" t="s">
        <v>405</v>
      </c>
      <c r="D28" s="6" t="s">
        <v>87</v>
      </c>
      <c r="E28" s="6" t="n">
        <v>2016</v>
      </c>
      <c r="F28" s="5" t="s">
        <v>406</v>
      </c>
      <c r="G28" s="6" t="s">
        <v>100</v>
      </c>
      <c r="H28" s="6" t="s">
        <v>76</v>
      </c>
      <c r="I28" s="6" t="n">
        <v>-100</v>
      </c>
      <c r="J28" s="6" t="s">
        <v>101</v>
      </c>
      <c r="K28" s="6" t="n">
        <v>3</v>
      </c>
      <c r="L28" s="6" t="s">
        <v>76</v>
      </c>
      <c r="M28" s="6" t="s">
        <v>76</v>
      </c>
      <c r="N28" s="6" t="s">
        <v>76</v>
      </c>
      <c r="O28" s="6" t="s">
        <v>77</v>
      </c>
      <c r="P28" s="6" t="s">
        <v>78</v>
      </c>
      <c r="Q28" s="6" t="s">
        <v>304</v>
      </c>
      <c r="R28" s="6" t="s">
        <v>104</v>
      </c>
      <c r="S28" s="6" t="s">
        <v>79</v>
      </c>
      <c r="T28" s="6" t="s">
        <v>73</v>
      </c>
      <c r="U28" s="6" t="s">
        <v>76</v>
      </c>
      <c r="V28" s="6" t="s">
        <v>76</v>
      </c>
      <c r="W28" s="6" t="s">
        <v>81</v>
      </c>
      <c r="X28" s="6" t="s">
        <v>76</v>
      </c>
      <c r="Y28" s="6" t="s">
        <v>82</v>
      </c>
      <c r="Z28" s="6" t="n">
        <v>4</v>
      </c>
      <c r="AA28" s="6" t="n">
        <v>4</v>
      </c>
      <c r="AB28" s="6" t="n">
        <v>40</v>
      </c>
      <c r="AC28" s="6" t="n">
        <v>-100</v>
      </c>
      <c r="AD28" s="6" t="s">
        <v>76</v>
      </c>
      <c r="AE28" s="6" t="s">
        <v>76</v>
      </c>
      <c r="AF28" s="5" t="s">
        <v>407</v>
      </c>
      <c r="AG28" s="3"/>
      <c r="AH28" s="2" t="n">
        <f aca="false">IF(H28="ja",1,0)</f>
        <v>0</v>
      </c>
      <c r="AI28" s="2" t="n">
        <f aca="false">IF(J28="schoon",1,IF(J28="vuil",0.5,0))</f>
        <v>0.5</v>
      </c>
      <c r="AJ28" s="2" t="n">
        <f aca="false">K28/5</f>
        <v>0.6</v>
      </c>
      <c r="AK28" s="2" t="n">
        <f aca="false">IF(L28="ja",1,0)</f>
        <v>0</v>
      </c>
      <c r="AL28" s="2" t="n">
        <f aca="false">IF(M28="ja",1,0)</f>
        <v>0</v>
      </c>
      <c r="AM28" s="2" t="n">
        <f aca="false">IF(N28="ja",1,0)</f>
        <v>0</v>
      </c>
      <c r="AN28" s="2" t="n">
        <f aca="false">IF(O28="exact",1,0)</f>
        <v>1</v>
      </c>
      <c r="AO28" s="2" t="n">
        <f aca="false">IF(T28="ja",1,0)</f>
        <v>1</v>
      </c>
      <c r="AP28" s="2" t="n">
        <f aca="false">IF(U28="ja",1,0)</f>
        <v>0</v>
      </c>
      <c r="AQ28" s="2" t="n">
        <f aca="false">IF(V28="ja",1,0)</f>
        <v>0</v>
      </c>
      <c r="AR28" s="2" t="n">
        <f aca="false">IF(W28="Bennett",1,IF(W28="meting",0.5,0))</f>
        <v>1</v>
      </c>
      <c r="AS28" s="2" t="n">
        <f aca="false">IF(X28="ja",1,0)</f>
        <v>0</v>
      </c>
      <c r="AT28" s="2" t="n">
        <f aca="false">Z28/5</f>
        <v>0.8</v>
      </c>
      <c r="AU28" s="2" t="n">
        <f aca="false">AA28/5</f>
        <v>0.8</v>
      </c>
    </row>
    <row r="29" customFormat="false" ht="26.85" hidden="false" customHeight="false" outlineLevel="0" collapsed="false">
      <c r="A29" s="2" t="s">
        <v>408</v>
      </c>
      <c r="B29" s="5" t="s">
        <v>409</v>
      </c>
      <c r="C29" s="6" t="s">
        <v>405</v>
      </c>
      <c r="D29" s="6" t="s">
        <v>87</v>
      </c>
      <c r="E29" s="6" t="n">
        <v>2024</v>
      </c>
      <c r="F29" s="5" t="s">
        <v>410</v>
      </c>
      <c r="G29" s="6" t="s">
        <v>100</v>
      </c>
      <c r="H29" s="6" t="s">
        <v>76</v>
      </c>
      <c r="I29" s="6" t="n">
        <v>-20</v>
      </c>
      <c r="J29" s="6" t="s">
        <v>101</v>
      </c>
      <c r="K29" s="6" t="n">
        <v>2</v>
      </c>
      <c r="L29" s="6" t="s">
        <v>76</v>
      </c>
      <c r="M29" s="6" t="s">
        <v>76</v>
      </c>
      <c r="N29" s="6" t="s">
        <v>76</v>
      </c>
      <c r="O29" s="6" t="s">
        <v>77</v>
      </c>
      <c r="P29" s="6" t="s">
        <v>78</v>
      </c>
      <c r="Q29" s="6" t="s">
        <v>80</v>
      </c>
      <c r="R29" s="6" t="s">
        <v>411</v>
      </c>
      <c r="S29" s="6" t="s">
        <v>396</v>
      </c>
      <c r="T29" s="6" t="s">
        <v>73</v>
      </c>
      <c r="U29" s="6" t="s">
        <v>76</v>
      </c>
      <c r="V29" s="6" t="s">
        <v>76</v>
      </c>
      <c r="W29" s="6" t="s">
        <v>90</v>
      </c>
      <c r="X29" s="6" t="s">
        <v>76</v>
      </c>
      <c r="Y29" s="6" t="s">
        <v>82</v>
      </c>
      <c r="Z29" s="6" t="n">
        <v>3</v>
      </c>
      <c r="AA29" s="6" t="n">
        <v>4</v>
      </c>
      <c r="AB29" s="6" t="n">
        <v>1</v>
      </c>
      <c r="AC29" s="6" t="n">
        <v>-20</v>
      </c>
      <c r="AD29" s="6" t="s">
        <v>76</v>
      </c>
      <c r="AE29" s="6" t="s">
        <v>76</v>
      </c>
      <c r="AF29" s="5" t="s">
        <v>412</v>
      </c>
      <c r="AG29" s="3"/>
      <c r="AH29" s="2" t="n">
        <f aca="false">IF(H29="ja",1,0)</f>
        <v>0</v>
      </c>
      <c r="AI29" s="2" t="n">
        <f aca="false">IF(J29="schoon",1,IF(J29="vuil",0.5,0))</f>
        <v>0.5</v>
      </c>
      <c r="AJ29" s="2" t="n">
        <f aca="false">K29/5</f>
        <v>0.4</v>
      </c>
      <c r="AK29" s="2" t="n">
        <f aca="false">IF(L29="ja",1,0)</f>
        <v>0</v>
      </c>
      <c r="AL29" s="2" t="n">
        <f aca="false">IF(M29="ja",1,0)</f>
        <v>0</v>
      </c>
      <c r="AM29" s="2" t="n">
        <f aca="false">IF(N29="ja",1,0)</f>
        <v>0</v>
      </c>
      <c r="AN29" s="2" t="n">
        <f aca="false">IF(O29="exact",1,0)</f>
        <v>1</v>
      </c>
      <c r="AO29" s="2" t="n">
        <f aca="false">IF(T29="ja",1,0)</f>
        <v>1</v>
      </c>
      <c r="AP29" s="2" t="n">
        <f aca="false">IF(U29="ja",1,0)</f>
        <v>0</v>
      </c>
      <c r="AQ29" s="2" t="n">
        <f aca="false">IF(V29="ja",1,0)</f>
        <v>0</v>
      </c>
      <c r="AR29" s="2" t="n">
        <f aca="false">IF(W29="Bennett",1,IF(W29="meting",0.5,0))</f>
        <v>0</v>
      </c>
      <c r="AS29" s="2" t="n">
        <f aca="false">IF(X29="ja",1,0)</f>
        <v>0</v>
      </c>
      <c r="AT29" s="2" t="n">
        <f aca="false">Z29/5</f>
        <v>0.6</v>
      </c>
      <c r="AU29" s="2" t="n">
        <f aca="false">AA29/5</f>
        <v>0.8</v>
      </c>
    </row>
    <row r="30" customFormat="false" ht="26.85" hidden="false" customHeight="false" outlineLevel="0" collapsed="false">
      <c r="A30" s="2" t="s">
        <v>413</v>
      </c>
      <c r="B30" s="5" t="s">
        <v>414</v>
      </c>
      <c r="C30" s="6" t="s">
        <v>415</v>
      </c>
      <c r="D30" s="6" t="s">
        <v>87</v>
      </c>
      <c r="E30" s="6" t="n">
        <v>2018</v>
      </c>
      <c r="F30" s="5" t="s">
        <v>416</v>
      </c>
      <c r="G30" s="6" t="s">
        <v>89</v>
      </c>
      <c r="H30" s="6" t="s">
        <v>73</v>
      </c>
      <c r="I30" s="6" t="n">
        <v>64</v>
      </c>
      <c r="J30" s="6" t="s">
        <v>75</v>
      </c>
      <c r="K30" s="6" t="n">
        <v>2</v>
      </c>
      <c r="L30" s="6" t="s">
        <v>76</v>
      </c>
      <c r="M30" s="6" t="s">
        <v>73</v>
      </c>
      <c r="N30" s="6" t="s">
        <v>73</v>
      </c>
      <c r="O30" s="6" t="s">
        <v>77</v>
      </c>
      <c r="P30" s="6" t="s">
        <v>78</v>
      </c>
      <c r="Q30" s="6" t="s">
        <v>417</v>
      </c>
      <c r="R30" s="6" t="s">
        <v>418</v>
      </c>
      <c r="S30" s="6" t="s">
        <v>419</v>
      </c>
      <c r="T30" s="6" t="s">
        <v>73</v>
      </c>
      <c r="U30" s="6" t="s">
        <v>76</v>
      </c>
      <c r="V30" s="6" t="s">
        <v>76</v>
      </c>
      <c r="W30" s="6" t="s">
        <v>105</v>
      </c>
      <c r="X30" s="6" t="s">
        <v>73</v>
      </c>
      <c r="Y30" s="6" t="s">
        <v>106</v>
      </c>
      <c r="Z30" s="6" t="n">
        <v>3</v>
      </c>
      <c r="AA30" s="6" t="n">
        <v>5</v>
      </c>
      <c r="AB30" s="6" t="n">
        <v>0</v>
      </c>
      <c r="AC30" s="6" t="n">
        <v>64</v>
      </c>
      <c r="AD30" s="6" t="s">
        <v>76</v>
      </c>
      <c r="AE30" s="6" t="s">
        <v>73</v>
      </c>
      <c r="AF30" s="5" t="s">
        <v>420</v>
      </c>
      <c r="AG30" s="3"/>
      <c r="AH30" s="2" t="n">
        <f aca="false">IF(H30="ja",1,0)</f>
        <v>1</v>
      </c>
      <c r="AI30" s="2" t="n">
        <f aca="false">IF(J30="schoon",1,IF(J30="vuil",0.5,0))</f>
        <v>1</v>
      </c>
      <c r="AJ30" s="2" t="n">
        <f aca="false">K30/5</f>
        <v>0.4</v>
      </c>
      <c r="AK30" s="2" t="n">
        <f aca="false">IF(L30="ja",1,0)</f>
        <v>0</v>
      </c>
      <c r="AL30" s="2" t="n">
        <f aca="false">IF(M30="ja",1,0)</f>
        <v>1</v>
      </c>
      <c r="AM30" s="2" t="n">
        <f aca="false">IF(N30="ja",1,0)</f>
        <v>1</v>
      </c>
      <c r="AN30" s="2" t="n">
        <f aca="false">IF(O30="exact",1,0)</f>
        <v>1</v>
      </c>
      <c r="AO30" s="2" t="n">
        <f aca="false">IF(T30="ja",1,0)</f>
        <v>1</v>
      </c>
      <c r="AP30" s="2" t="n">
        <f aca="false">IF(U30="ja",1,0)</f>
        <v>0</v>
      </c>
      <c r="AQ30" s="2" t="n">
        <f aca="false">IF(V30="ja",1,0)</f>
        <v>0</v>
      </c>
      <c r="AR30" s="2" t="n">
        <f aca="false">IF(W30="Bennett",1,IF(W30="meting",0.5,0))</f>
        <v>0.5</v>
      </c>
      <c r="AS30" s="2" t="n">
        <f aca="false">IF(X30="ja",1,0)</f>
        <v>1</v>
      </c>
      <c r="AT30" s="2" t="n">
        <f aca="false">Z30/5</f>
        <v>0.6</v>
      </c>
      <c r="AU30" s="2" t="n">
        <f aca="false">AA30/5</f>
        <v>1</v>
      </c>
    </row>
    <row r="31" customFormat="false" ht="15" hidden="false" customHeight="false" outlineLevel="0" collapsed="false">
      <c r="A31" s="2" t="s">
        <v>421</v>
      </c>
      <c r="B31" s="5" t="s">
        <v>422</v>
      </c>
      <c r="C31" s="6" t="s">
        <v>415</v>
      </c>
      <c r="D31" s="6" t="s">
        <v>152</v>
      </c>
      <c r="E31" s="6" t="n">
        <v>2019</v>
      </c>
      <c r="F31" s="5" t="s">
        <v>423</v>
      </c>
      <c r="G31" s="6" t="s">
        <v>89</v>
      </c>
      <c r="H31" s="6" t="s">
        <v>76</v>
      </c>
      <c r="I31" s="6" t="n">
        <v>0</v>
      </c>
      <c r="J31" s="6" t="s">
        <v>90</v>
      </c>
      <c r="K31" s="6" t="n">
        <v>1</v>
      </c>
      <c r="L31" s="6" t="s">
        <v>76</v>
      </c>
      <c r="M31" s="6" t="s">
        <v>73</v>
      </c>
      <c r="N31" s="6" t="s">
        <v>73</v>
      </c>
      <c r="O31" s="6" t="s">
        <v>77</v>
      </c>
      <c r="P31" s="6" t="s">
        <v>78</v>
      </c>
      <c r="Q31" s="6" t="s">
        <v>424</v>
      </c>
      <c r="R31" s="6" t="s">
        <v>104</v>
      </c>
      <c r="S31" s="6" t="s">
        <v>424</v>
      </c>
      <c r="T31" s="6" t="s">
        <v>73</v>
      </c>
      <c r="U31" s="6" t="s">
        <v>76</v>
      </c>
      <c r="V31" s="6" t="s">
        <v>76</v>
      </c>
      <c r="W31" s="6" t="s">
        <v>105</v>
      </c>
      <c r="X31" s="6" t="s">
        <v>73</v>
      </c>
      <c r="Y31" s="6" t="s">
        <v>106</v>
      </c>
      <c r="Z31" s="6" t="n">
        <v>2</v>
      </c>
      <c r="AA31" s="6" t="n">
        <v>5</v>
      </c>
      <c r="AB31" s="6" t="n">
        <v>0</v>
      </c>
      <c r="AC31" s="6" t="n">
        <v>0</v>
      </c>
      <c r="AD31" s="6" t="s">
        <v>76</v>
      </c>
      <c r="AE31" s="6" t="s">
        <v>73</v>
      </c>
      <c r="AF31" s="5" t="s">
        <v>425</v>
      </c>
      <c r="AG31" s="3"/>
      <c r="AH31" s="2" t="n">
        <f aca="false">IF(H31="ja",1,0)</f>
        <v>0</v>
      </c>
      <c r="AI31" s="2" t="n">
        <f aca="false">IF(J31="schoon",1,IF(J31="vuil",0.5,0))</f>
        <v>0</v>
      </c>
      <c r="AJ31" s="2" t="n">
        <f aca="false">K31/5</f>
        <v>0.2</v>
      </c>
      <c r="AK31" s="2" t="n">
        <f aca="false">IF(L31="ja",1,0)</f>
        <v>0</v>
      </c>
      <c r="AL31" s="2" t="n">
        <f aca="false">IF(M31="ja",1,0)</f>
        <v>1</v>
      </c>
      <c r="AM31" s="2" t="n">
        <f aca="false">IF(N31="ja",1,0)</f>
        <v>1</v>
      </c>
      <c r="AN31" s="2" t="n">
        <f aca="false">IF(O31="exact",1,0)</f>
        <v>1</v>
      </c>
      <c r="AO31" s="2" t="n">
        <f aca="false">IF(T31="ja",1,0)</f>
        <v>1</v>
      </c>
      <c r="AP31" s="2" t="n">
        <f aca="false">IF(U31="ja",1,0)</f>
        <v>0</v>
      </c>
      <c r="AQ31" s="2" t="n">
        <f aca="false">IF(V31="ja",1,0)</f>
        <v>0</v>
      </c>
      <c r="AR31" s="2" t="n">
        <f aca="false">IF(W31="Bennett",1,IF(W31="meting",0.5,0))</f>
        <v>0.5</v>
      </c>
      <c r="AS31" s="2" t="n">
        <f aca="false">IF(X31="ja",1,0)</f>
        <v>1</v>
      </c>
      <c r="AT31" s="2" t="n">
        <f aca="false">Z31/5</f>
        <v>0.4</v>
      </c>
      <c r="AU31" s="2" t="n">
        <f aca="false">AA31/5</f>
        <v>1</v>
      </c>
    </row>
    <row r="32" customFormat="false" ht="26.85" hidden="false" customHeight="false" outlineLevel="0" collapsed="false">
      <c r="A32" s="2" t="s">
        <v>426</v>
      </c>
      <c r="B32" s="5" t="s">
        <v>427</v>
      </c>
      <c r="C32" s="6" t="s">
        <v>185</v>
      </c>
      <c r="D32" s="6" t="s">
        <v>69</v>
      </c>
      <c r="E32" s="6" t="n">
        <v>1963</v>
      </c>
      <c r="F32" s="5" t="s">
        <v>428</v>
      </c>
      <c r="G32" s="6" t="s">
        <v>89</v>
      </c>
      <c r="H32" s="6" t="s">
        <v>73</v>
      </c>
      <c r="I32" s="6" t="n">
        <v>300</v>
      </c>
      <c r="J32" s="6" t="s">
        <v>75</v>
      </c>
      <c r="K32" s="6" t="n">
        <v>3</v>
      </c>
      <c r="L32" s="6" t="s">
        <v>76</v>
      </c>
      <c r="M32" s="6" t="s">
        <v>76</v>
      </c>
      <c r="N32" s="6" t="s">
        <v>76</v>
      </c>
      <c r="O32" s="6" t="s">
        <v>77</v>
      </c>
      <c r="P32" s="6" t="s">
        <v>78</v>
      </c>
      <c r="Q32" s="6" t="s">
        <v>429</v>
      </c>
      <c r="R32" s="6" t="s">
        <v>80</v>
      </c>
      <c r="S32" s="6" t="s">
        <v>80</v>
      </c>
      <c r="T32" s="6" t="s">
        <v>73</v>
      </c>
      <c r="U32" s="6" t="s">
        <v>76</v>
      </c>
      <c r="V32" s="6" t="s">
        <v>76</v>
      </c>
      <c r="W32" s="6" t="s">
        <v>81</v>
      </c>
      <c r="X32" s="6" t="s">
        <v>76</v>
      </c>
      <c r="Y32" s="6" t="s">
        <v>82</v>
      </c>
      <c r="Z32" s="6" t="n">
        <v>4</v>
      </c>
      <c r="AA32" s="6" t="n">
        <v>3</v>
      </c>
      <c r="AB32" s="6" t="n">
        <v>1</v>
      </c>
      <c r="AC32" s="6" t="n">
        <v>300</v>
      </c>
      <c r="AD32" s="6" t="s">
        <v>76</v>
      </c>
      <c r="AE32" s="6" t="s">
        <v>76</v>
      </c>
      <c r="AF32" s="5" t="s">
        <v>430</v>
      </c>
      <c r="AG32" s="3"/>
      <c r="AH32" s="2" t="n">
        <f aca="false">IF(H32="ja",1,0)</f>
        <v>1</v>
      </c>
      <c r="AI32" s="2" t="n">
        <f aca="false">IF(J32="schoon",1,IF(J32="vuil",0.5,0))</f>
        <v>1</v>
      </c>
      <c r="AJ32" s="2" t="n">
        <f aca="false">K32/5</f>
        <v>0.6</v>
      </c>
      <c r="AK32" s="2" t="n">
        <f aca="false">IF(L32="ja",1,0)</f>
        <v>0</v>
      </c>
      <c r="AL32" s="2" t="n">
        <f aca="false">IF(M32="ja",1,0)</f>
        <v>0</v>
      </c>
      <c r="AM32" s="2" t="n">
        <f aca="false">IF(N32="ja",1,0)</f>
        <v>0</v>
      </c>
      <c r="AN32" s="2" t="n">
        <f aca="false">IF(O32="exact",1,0)</f>
        <v>1</v>
      </c>
      <c r="AO32" s="2" t="n">
        <f aca="false">IF(T32="ja",1,0)</f>
        <v>1</v>
      </c>
      <c r="AP32" s="2" t="n">
        <f aca="false">IF(U32="ja",1,0)</f>
        <v>0</v>
      </c>
      <c r="AQ32" s="2" t="n">
        <f aca="false">IF(V32="ja",1,0)</f>
        <v>0</v>
      </c>
      <c r="AR32" s="2" t="n">
        <f aca="false">IF(W32="Bennett",1,IF(W32="meting",0.5,0))</f>
        <v>1</v>
      </c>
      <c r="AS32" s="2" t="n">
        <f aca="false">IF(X32="ja",1,0)</f>
        <v>0</v>
      </c>
      <c r="AT32" s="2" t="n">
        <f aca="false">Z32/5</f>
        <v>0.8</v>
      </c>
      <c r="AU32" s="2" t="n">
        <f aca="false">AA32/5</f>
        <v>0.6</v>
      </c>
    </row>
    <row r="33" customFormat="false" ht="15" hidden="false" customHeight="false" outlineLevel="0" collapsed="false">
      <c r="A33" s="2" t="s">
        <v>431</v>
      </c>
      <c r="B33" s="5" t="s">
        <v>432</v>
      </c>
      <c r="C33" s="6" t="s">
        <v>132</v>
      </c>
      <c r="D33" s="6" t="s">
        <v>69</v>
      </c>
      <c r="E33" s="6" t="n">
        <v>1986</v>
      </c>
      <c r="F33" s="5" t="s">
        <v>433</v>
      </c>
      <c r="G33" s="6" t="s">
        <v>89</v>
      </c>
      <c r="H33" s="6" t="s">
        <v>73</v>
      </c>
      <c r="I33" s="6" t="n">
        <v>256</v>
      </c>
      <c r="J33" s="6" t="s">
        <v>75</v>
      </c>
      <c r="K33" s="6" t="n">
        <v>2</v>
      </c>
      <c r="L33" s="6" t="s">
        <v>76</v>
      </c>
      <c r="M33" s="6" t="s">
        <v>76</v>
      </c>
      <c r="N33" s="6" t="s">
        <v>76</v>
      </c>
      <c r="O33" s="6" t="s">
        <v>77</v>
      </c>
      <c r="P33" s="6" t="s">
        <v>78</v>
      </c>
      <c r="Q33" s="6" t="s">
        <v>79</v>
      </c>
      <c r="R33" s="6" t="s">
        <v>80</v>
      </c>
      <c r="S33" s="6" t="s">
        <v>79</v>
      </c>
      <c r="T33" s="6" t="s">
        <v>73</v>
      </c>
      <c r="U33" s="6" t="s">
        <v>76</v>
      </c>
      <c r="V33" s="6" t="s">
        <v>76</v>
      </c>
      <c r="W33" s="6" t="s">
        <v>81</v>
      </c>
      <c r="X33" s="6" t="s">
        <v>76</v>
      </c>
      <c r="Y33" s="6" t="s">
        <v>82</v>
      </c>
      <c r="Z33" s="6" t="n">
        <v>2</v>
      </c>
      <c r="AA33" s="6" t="n">
        <v>5</v>
      </c>
      <c r="AB33" s="6" t="n">
        <v>0</v>
      </c>
      <c r="AC33" s="6" t="n">
        <v>256</v>
      </c>
      <c r="AD33" s="6" t="s">
        <v>76</v>
      </c>
      <c r="AE33" s="6" t="s">
        <v>76</v>
      </c>
      <c r="AF33" s="5" t="s">
        <v>434</v>
      </c>
      <c r="AG33" s="3"/>
      <c r="AH33" s="2" t="n">
        <f aca="false">IF(H33="ja",1,0)</f>
        <v>1</v>
      </c>
      <c r="AI33" s="2" t="n">
        <f aca="false">IF(J33="schoon",1,IF(J33="vuil",0.5,0))</f>
        <v>1</v>
      </c>
      <c r="AJ33" s="2" t="n">
        <f aca="false">K33/5</f>
        <v>0.4</v>
      </c>
      <c r="AK33" s="2" t="n">
        <f aca="false">IF(L33="ja",1,0)</f>
        <v>0</v>
      </c>
      <c r="AL33" s="2" t="n">
        <f aca="false">IF(M33="ja",1,0)</f>
        <v>0</v>
      </c>
      <c r="AM33" s="2" t="n">
        <f aca="false">IF(N33="ja",1,0)</f>
        <v>0</v>
      </c>
      <c r="AN33" s="2" t="n">
        <f aca="false">IF(O33="exact",1,0)</f>
        <v>1</v>
      </c>
      <c r="AO33" s="2" t="n">
        <f aca="false">IF(T33="ja",1,0)</f>
        <v>1</v>
      </c>
      <c r="AP33" s="2" t="n">
        <f aca="false">IF(U33="ja",1,0)</f>
        <v>0</v>
      </c>
      <c r="AQ33" s="2" t="n">
        <f aca="false">IF(V33="ja",1,0)</f>
        <v>0</v>
      </c>
      <c r="AR33" s="2" t="n">
        <f aca="false">IF(W33="Bennett",1,IF(W33="meting",0.5,0))</f>
        <v>1</v>
      </c>
      <c r="AS33" s="2" t="n">
        <f aca="false">IF(X33="ja",1,0)</f>
        <v>0</v>
      </c>
      <c r="AT33" s="2" t="n">
        <f aca="false">Z33/5</f>
        <v>0.4</v>
      </c>
      <c r="AU33" s="2" t="n">
        <f aca="false">AA33/5</f>
        <v>1</v>
      </c>
    </row>
    <row r="34" customFormat="false" ht="26.85" hidden="false" customHeight="false" outlineLevel="0" collapsed="false">
      <c r="A34" s="2" t="s">
        <v>435</v>
      </c>
      <c r="B34" s="5" t="s">
        <v>436</v>
      </c>
      <c r="C34" s="6" t="s">
        <v>282</v>
      </c>
      <c r="D34" s="6" t="s">
        <v>69</v>
      </c>
      <c r="E34" s="6" t="n">
        <v>2003</v>
      </c>
      <c r="F34" s="5" t="s">
        <v>437</v>
      </c>
      <c r="G34" s="6" t="s">
        <v>89</v>
      </c>
      <c r="H34" s="6" t="s">
        <v>73</v>
      </c>
      <c r="I34" s="6" t="n">
        <v>512</v>
      </c>
      <c r="J34" s="6" t="s">
        <v>75</v>
      </c>
      <c r="K34" s="6" t="n">
        <v>3</v>
      </c>
      <c r="L34" s="6" t="s">
        <v>76</v>
      </c>
      <c r="M34" s="6" t="s">
        <v>76</v>
      </c>
      <c r="N34" s="6" t="s">
        <v>76</v>
      </c>
      <c r="O34" s="6" t="s">
        <v>77</v>
      </c>
      <c r="P34" s="6" t="s">
        <v>78</v>
      </c>
      <c r="Q34" s="6" t="s">
        <v>79</v>
      </c>
      <c r="R34" s="6" t="s">
        <v>80</v>
      </c>
      <c r="S34" s="6" t="s">
        <v>79</v>
      </c>
      <c r="T34" s="6" t="s">
        <v>73</v>
      </c>
      <c r="U34" s="6" t="s">
        <v>76</v>
      </c>
      <c r="V34" s="6" t="s">
        <v>73</v>
      </c>
      <c r="W34" s="6" t="s">
        <v>81</v>
      </c>
      <c r="X34" s="6" t="s">
        <v>76</v>
      </c>
      <c r="Y34" s="6" t="s">
        <v>82</v>
      </c>
      <c r="Z34" s="6" t="n">
        <v>4</v>
      </c>
      <c r="AA34" s="6" t="n">
        <v>3</v>
      </c>
      <c r="AB34" s="6" t="n">
        <v>5</v>
      </c>
      <c r="AC34" s="6" t="n">
        <v>512</v>
      </c>
      <c r="AD34" s="6" t="s">
        <v>76</v>
      </c>
      <c r="AE34" s="6" t="s">
        <v>76</v>
      </c>
      <c r="AF34" s="5" t="s">
        <v>438</v>
      </c>
      <c r="AG34" s="3"/>
      <c r="AH34" s="2" t="n">
        <f aca="false">IF(H34="ja",1,0)</f>
        <v>1</v>
      </c>
      <c r="AI34" s="2" t="n">
        <f aca="false">IF(J34="schoon",1,IF(J34="vuil",0.5,0))</f>
        <v>1</v>
      </c>
      <c r="AJ34" s="2" t="n">
        <f aca="false">K34/5</f>
        <v>0.6</v>
      </c>
      <c r="AK34" s="2" t="n">
        <f aca="false">IF(L34="ja",1,0)</f>
        <v>0</v>
      </c>
      <c r="AL34" s="2" t="n">
        <f aca="false">IF(M34="ja",1,0)</f>
        <v>0</v>
      </c>
      <c r="AM34" s="2" t="n">
        <f aca="false">IF(N34="ja",1,0)</f>
        <v>0</v>
      </c>
      <c r="AN34" s="2" t="n">
        <f aca="false">IF(O34="exact",1,0)</f>
        <v>1</v>
      </c>
      <c r="AO34" s="2" t="n">
        <f aca="false">IF(T34="ja",1,0)</f>
        <v>1</v>
      </c>
      <c r="AP34" s="2" t="n">
        <f aca="false">IF(U34="ja",1,0)</f>
        <v>0</v>
      </c>
      <c r="AQ34" s="2" t="n">
        <f aca="false">IF(V34="ja",1,0)</f>
        <v>1</v>
      </c>
      <c r="AR34" s="2" t="n">
        <f aca="false">IF(W34="Bennett",1,IF(W34="meting",0.5,0))</f>
        <v>1</v>
      </c>
      <c r="AS34" s="2" t="n">
        <f aca="false">IF(X34="ja",1,0)</f>
        <v>0</v>
      </c>
      <c r="AT34" s="2" t="n">
        <f aca="false">Z34/5</f>
        <v>0.8</v>
      </c>
      <c r="AU34" s="2" t="n">
        <f aca="false">AA34/5</f>
        <v>0.6</v>
      </c>
    </row>
    <row r="35" customFormat="false" ht="15" hidden="false" customHeight="false" outlineLevel="0" collapsed="false">
      <c r="A35" s="2" t="s">
        <v>439</v>
      </c>
      <c r="B35" s="5" t="s">
        <v>440</v>
      </c>
      <c r="C35" s="6" t="s">
        <v>441</v>
      </c>
      <c r="D35" s="6" t="s">
        <v>162</v>
      </c>
      <c r="E35" s="6" t="n">
        <v>2026</v>
      </c>
      <c r="F35" s="5" t="s">
        <v>442</v>
      </c>
      <c r="G35" s="6" t="s">
        <v>100</v>
      </c>
      <c r="H35" s="6" t="s">
        <v>73</v>
      </c>
      <c r="I35" s="6" t="n">
        <v>-60</v>
      </c>
      <c r="J35" s="6" t="s">
        <v>75</v>
      </c>
      <c r="K35" s="6" t="n">
        <v>2</v>
      </c>
      <c r="L35" s="6" t="s">
        <v>76</v>
      </c>
      <c r="M35" s="6" t="s">
        <v>76</v>
      </c>
      <c r="N35" s="6" t="s">
        <v>76</v>
      </c>
      <c r="O35" s="6" t="s">
        <v>77</v>
      </c>
      <c r="P35" s="6" t="s">
        <v>78</v>
      </c>
      <c r="Q35" s="6" t="s">
        <v>80</v>
      </c>
      <c r="R35" s="6" t="s">
        <v>74</v>
      </c>
      <c r="S35" s="6" t="s">
        <v>80</v>
      </c>
      <c r="T35" s="6" t="s">
        <v>73</v>
      </c>
      <c r="U35" s="6" t="s">
        <v>76</v>
      </c>
      <c r="V35" s="6" t="s">
        <v>73</v>
      </c>
      <c r="W35" s="6" t="s">
        <v>81</v>
      </c>
      <c r="X35" s="6" t="s">
        <v>76</v>
      </c>
      <c r="Y35" s="6" t="s">
        <v>82</v>
      </c>
      <c r="Z35" s="6" t="n">
        <v>3</v>
      </c>
      <c r="AA35" s="6" t="n">
        <v>3</v>
      </c>
      <c r="AB35" s="6" t="n">
        <v>1</v>
      </c>
      <c r="AC35" s="6" t="n">
        <v>-20</v>
      </c>
      <c r="AD35" s="6" t="s">
        <v>76</v>
      </c>
      <c r="AE35" s="6" t="s">
        <v>73</v>
      </c>
      <c r="AF35" s="5" t="s">
        <v>443</v>
      </c>
      <c r="AG35" s="3"/>
      <c r="AH35" s="2" t="n">
        <f aca="false">IF(H35="ja",1,0)</f>
        <v>1</v>
      </c>
      <c r="AI35" s="2" t="n">
        <f aca="false">IF(J35="schoon",1,IF(J35="vuil",0.5,0))</f>
        <v>1</v>
      </c>
      <c r="AJ35" s="2" t="n">
        <f aca="false">K35/5</f>
        <v>0.4</v>
      </c>
      <c r="AK35" s="2" t="n">
        <f aca="false">IF(L35="ja",1,0)</f>
        <v>0</v>
      </c>
      <c r="AL35" s="2" t="n">
        <f aca="false">IF(M35="ja",1,0)</f>
        <v>0</v>
      </c>
      <c r="AM35" s="2" t="n">
        <f aca="false">IF(N35="ja",1,0)</f>
        <v>0</v>
      </c>
      <c r="AN35" s="2" t="n">
        <f aca="false">IF(O35="exact",1,0)</f>
        <v>1</v>
      </c>
      <c r="AO35" s="2" t="n">
        <f aca="false">IF(T35="ja",1,0)</f>
        <v>1</v>
      </c>
      <c r="AP35" s="2" t="n">
        <f aca="false">IF(U35="ja",1,0)</f>
        <v>0</v>
      </c>
      <c r="AQ35" s="2" t="n">
        <f aca="false">IF(V35="ja",1,0)</f>
        <v>1</v>
      </c>
      <c r="AR35" s="2" t="n">
        <f aca="false">IF(W35="Bennett",1,IF(W35="meting",0.5,0))</f>
        <v>1</v>
      </c>
      <c r="AS35" s="2" t="n">
        <f aca="false">IF(X35="ja",1,0)</f>
        <v>0</v>
      </c>
      <c r="AT35" s="2" t="n">
        <f aca="false">Z35/5</f>
        <v>0.6</v>
      </c>
      <c r="AU35" s="2" t="n">
        <f aca="false">AA35/5</f>
        <v>0.6</v>
      </c>
    </row>
    <row r="36" customFormat="false" ht="26.85" hidden="false" customHeight="false" outlineLevel="0" collapsed="false">
      <c r="A36" s="2" t="s">
        <v>444</v>
      </c>
      <c r="B36" s="5" t="s">
        <v>445</v>
      </c>
      <c r="C36" s="6" t="s">
        <v>282</v>
      </c>
      <c r="D36" s="6" t="s">
        <v>69</v>
      </c>
      <c r="E36" s="6" t="n">
        <v>1987</v>
      </c>
      <c r="F36" s="5" t="s">
        <v>446</v>
      </c>
      <c r="G36" s="6" t="s">
        <v>89</v>
      </c>
      <c r="H36" s="6" t="s">
        <v>73</v>
      </c>
      <c r="I36" s="6" t="n">
        <v>256</v>
      </c>
      <c r="J36" s="6" t="s">
        <v>75</v>
      </c>
      <c r="K36" s="6" t="n">
        <v>3</v>
      </c>
      <c r="L36" s="6" t="s">
        <v>76</v>
      </c>
      <c r="M36" s="6" t="s">
        <v>76</v>
      </c>
      <c r="N36" s="6" t="s">
        <v>76</v>
      </c>
      <c r="O36" s="6" t="s">
        <v>77</v>
      </c>
      <c r="P36" s="6" t="s">
        <v>78</v>
      </c>
      <c r="Q36" s="6" t="s">
        <v>79</v>
      </c>
      <c r="R36" s="6" t="s">
        <v>80</v>
      </c>
      <c r="S36" s="6" t="s">
        <v>79</v>
      </c>
      <c r="T36" s="6" t="s">
        <v>73</v>
      </c>
      <c r="U36" s="6" t="s">
        <v>76</v>
      </c>
      <c r="V36" s="6" t="s">
        <v>76</v>
      </c>
      <c r="W36" s="6" t="s">
        <v>81</v>
      </c>
      <c r="X36" s="6" t="s">
        <v>76</v>
      </c>
      <c r="Y36" s="6" t="s">
        <v>82</v>
      </c>
      <c r="Z36" s="6" t="n">
        <v>3</v>
      </c>
      <c r="AA36" s="6" t="n">
        <v>5</v>
      </c>
      <c r="AB36" s="6" t="n">
        <v>0</v>
      </c>
      <c r="AC36" s="6" t="n">
        <v>256</v>
      </c>
      <c r="AD36" s="6" t="s">
        <v>76</v>
      </c>
      <c r="AE36" s="6" t="s">
        <v>76</v>
      </c>
      <c r="AF36" s="5" t="s">
        <v>447</v>
      </c>
      <c r="AG36" s="3"/>
      <c r="AH36" s="2" t="n">
        <f aca="false">IF(H36="ja",1,0)</f>
        <v>1</v>
      </c>
      <c r="AI36" s="2" t="n">
        <f aca="false">IF(J36="schoon",1,IF(J36="vuil",0.5,0))</f>
        <v>1</v>
      </c>
      <c r="AJ36" s="2" t="n">
        <f aca="false">K36/5</f>
        <v>0.6</v>
      </c>
      <c r="AK36" s="2" t="n">
        <f aca="false">IF(L36="ja",1,0)</f>
        <v>0</v>
      </c>
      <c r="AL36" s="2" t="n">
        <f aca="false">IF(M36="ja",1,0)</f>
        <v>0</v>
      </c>
      <c r="AM36" s="2" t="n">
        <f aca="false">IF(N36="ja",1,0)</f>
        <v>0</v>
      </c>
      <c r="AN36" s="2" t="n">
        <f aca="false">IF(O36="exact",1,0)</f>
        <v>1</v>
      </c>
      <c r="AO36" s="2" t="n">
        <f aca="false">IF(T36="ja",1,0)</f>
        <v>1</v>
      </c>
      <c r="AP36" s="2" t="n">
        <f aca="false">IF(U36="ja",1,0)</f>
        <v>0</v>
      </c>
      <c r="AQ36" s="2" t="n">
        <f aca="false">IF(V36="ja",1,0)</f>
        <v>0</v>
      </c>
      <c r="AR36" s="2" t="n">
        <f aca="false">IF(W36="Bennett",1,IF(W36="meting",0.5,0))</f>
        <v>1</v>
      </c>
      <c r="AS36" s="2" t="n">
        <f aca="false">IF(X36="ja",1,0)</f>
        <v>0</v>
      </c>
      <c r="AT36" s="2" t="n">
        <f aca="false">Z36/5</f>
        <v>0.6</v>
      </c>
      <c r="AU36" s="2" t="n">
        <f aca="false">AA36/5</f>
        <v>1</v>
      </c>
    </row>
    <row r="37" customFormat="false" ht="26.85" hidden="false" customHeight="false" outlineLevel="0" collapsed="false">
      <c r="A37" s="2" t="s">
        <v>448</v>
      </c>
      <c r="B37" s="5" t="s">
        <v>449</v>
      </c>
      <c r="C37" s="6" t="s">
        <v>282</v>
      </c>
      <c r="D37" s="6" t="s">
        <v>69</v>
      </c>
      <c r="E37" s="6" t="n">
        <v>1960</v>
      </c>
      <c r="F37" s="5" t="s">
        <v>450</v>
      </c>
      <c r="G37" s="6" t="s">
        <v>89</v>
      </c>
      <c r="H37" s="6" t="s">
        <v>73</v>
      </c>
      <c r="I37" s="6" t="n">
        <v>512</v>
      </c>
      <c r="J37" s="6" t="s">
        <v>75</v>
      </c>
      <c r="K37" s="6" t="n">
        <v>3</v>
      </c>
      <c r="L37" s="6" t="s">
        <v>76</v>
      </c>
      <c r="M37" s="6" t="s">
        <v>76</v>
      </c>
      <c r="N37" s="6" t="s">
        <v>76</v>
      </c>
      <c r="O37" s="6" t="s">
        <v>77</v>
      </c>
      <c r="P37" s="6" t="s">
        <v>78</v>
      </c>
      <c r="Q37" s="6" t="s">
        <v>79</v>
      </c>
      <c r="R37" s="6" t="s">
        <v>80</v>
      </c>
      <c r="S37" s="6" t="s">
        <v>304</v>
      </c>
      <c r="T37" s="6" t="s">
        <v>73</v>
      </c>
      <c r="U37" s="6" t="s">
        <v>76</v>
      </c>
      <c r="V37" s="6" t="s">
        <v>76</v>
      </c>
      <c r="W37" s="6" t="s">
        <v>81</v>
      </c>
      <c r="X37" s="6" t="s">
        <v>76</v>
      </c>
      <c r="Y37" s="6" t="s">
        <v>82</v>
      </c>
      <c r="Z37" s="6" t="n">
        <v>3</v>
      </c>
      <c r="AA37" s="6" t="n">
        <v>4</v>
      </c>
      <c r="AB37" s="6" t="s">
        <v>354</v>
      </c>
      <c r="AC37" s="6" t="s">
        <v>354</v>
      </c>
      <c r="AD37" s="6" t="s">
        <v>76</v>
      </c>
      <c r="AE37" s="6" t="s">
        <v>76</v>
      </c>
      <c r="AF37" s="5" t="s">
        <v>451</v>
      </c>
      <c r="AG37" s="3"/>
      <c r="AH37" s="2" t="n">
        <f aca="false">IF(H37="ja",1,0)</f>
        <v>1</v>
      </c>
      <c r="AI37" s="2" t="n">
        <f aca="false">IF(J37="schoon",1,IF(J37="vuil",0.5,0))</f>
        <v>1</v>
      </c>
      <c r="AJ37" s="2" t="n">
        <f aca="false">K37/5</f>
        <v>0.6</v>
      </c>
      <c r="AK37" s="2" t="n">
        <f aca="false">IF(L37="ja",1,0)</f>
        <v>0</v>
      </c>
      <c r="AL37" s="2" t="n">
        <f aca="false">IF(M37="ja",1,0)</f>
        <v>0</v>
      </c>
      <c r="AM37" s="2" t="n">
        <f aca="false">IF(N37="ja",1,0)</f>
        <v>0</v>
      </c>
      <c r="AN37" s="2" t="n">
        <f aca="false">IF(O37="exact",1,0)</f>
        <v>1</v>
      </c>
      <c r="AO37" s="2" t="n">
        <f aca="false">IF(T37="ja",1,0)</f>
        <v>1</v>
      </c>
      <c r="AP37" s="2" t="n">
        <f aca="false">IF(U37="ja",1,0)</f>
        <v>0</v>
      </c>
      <c r="AQ37" s="2" t="n">
        <f aca="false">IF(V37="ja",1,0)</f>
        <v>0</v>
      </c>
      <c r="AR37" s="2" t="n">
        <f aca="false">IF(W37="Bennett",1,IF(W37="meting",0.5,0))</f>
        <v>1</v>
      </c>
      <c r="AS37" s="2" t="n">
        <f aca="false">IF(X37="ja",1,0)</f>
        <v>0</v>
      </c>
      <c r="AT37" s="2" t="n">
        <f aca="false">Z37/5</f>
        <v>0.6</v>
      </c>
      <c r="AU37" s="2" t="n">
        <f aca="false">AA37/5</f>
        <v>0.8</v>
      </c>
    </row>
    <row r="38" customFormat="false" ht="15" hidden="false" customHeight="false" outlineLevel="0" collapsed="false">
      <c r="A38" s="2" t="s">
        <v>452</v>
      </c>
      <c r="B38" s="5" t="s">
        <v>453</v>
      </c>
      <c r="C38" s="6" t="s">
        <v>185</v>
      </c>
      <c r="D38" s="6" t="s">
        <v>69</v>
      </c>
      <c r="E38" s="6" t="n">
        <v>1817</v>
      </c>
      <c r="F38" s="5" t="s">
        <v>454</v>
      </c>
      <c r="G38" s="6" t="s">
        <v>89</v>
      </c>
      <c r="H38" s="6" t="s">
        <v>73</v>
      </c>
      <c r="I38" s="6" t="n">
        <v>256</v>
      </c>
      <c r="J38" s="6" t="s">
        <v>75</v>
      </c>
      <c r="K38" s="6" t="n">
        <v>2</v>
      </c>
      <c r="L38" s="6" t="s">
        <v>76</v>
      </c>
      <c r="M38" s="6" t="s">
        <v>76</v>
      </c>
      <c r="N38" s="6" t="s">
        <v>76</v>
      </c>
      <c r="O38" s="6" t="s">
        <v>77</v>
      </c>
      <c r="P38" s="6" t="s">
        <v>78</v>
      </c>
      <c r="Q38" s="6" t="s">
        <v>79</v>
      </c>
      <c r="R38" s="6" t="s">
        <v>80</v>
      </c>
      <c r="S38" s="6" t="s">
        <v>79</v>
      </c>
      <c r="T38" s="6" t="s">
        <v>73</v>
      </c>
      <c r="U38" s="6" t="s">
        <v>76</v>
      </c>
      <c r="V38" s="6" t="s">
        <v>76</v>
      </c>
      <c r="W38" s="6" t="s">
        <v>81</v>
      </c>
      <c r="X38" s="6" t="s">
        <v>76</v>
      </c>
      <c r="Y38" s="6" t="s">
        <v>82</v>
      </c>
      <c r="Z38" s="6" t="n">
        <v>2</v>
      </c>
      <c r="AA38" s="6" t="n">
        <v>5</v>
      </c>
      <c r="AB38" s="6" t="n">
        <v>0</v>
      </c>
      <c r="AC38" s="6" t="n">
        <v>256</v>
      </c>
      <c r="AD38" s="6" t="s">
        <v>76</v>
      </c>
      <c r="AE38" s="6" t="s">
        <v>76</v>
      </c>
      <c r="AF38" s="5" t="s">
        <v>455</v>
      </c>
      <c r="AG38" s="3"/>
      <c r="AH38" s="2" t="n">
        <f aca="false">IF(H38="ja",1,0)</f>
        <v>1</v>
      </c>
      <c r="AI38" s="2" t="n">
        <f aca="false">IF(J38="schoon",1,IF(J38="vuil",0.5,0))</f>
        <v>1</v>
      </c>
      <c r="AJ38" s="2" t="n">
        <f aca="false">K38/5</f>
        <v>0.4</v>
      </c>
      <c r="AK38" s="2" t="n">
        <f aca="false">IF(L38="ja",1,0)</f>
        <v>0</v>
      </c>
      <c r="AL38" s="2" t="n">
        <f aca="false">IF(M38="ja",1,0)</f>
        <v>0</v>
      </c>
      <c r="AM38" s="2" t="n">
        <f aca="false">IF(N38="ja",1,0)</f>
        <v>0</v>
      </c>
      <c r="AN38" s="2" t="n">
        <f aca="false">IF(O38="exact",1,0)</f>
        <v>1</v>
      </c>
      <c r="AO38" s="2" t="n">
        <f aca="false">IF(T38="ja",1,0)</f>
        <v>1</v>
      </c>
      <c r="AP38" s="2" t="n">
        <f aca="false">IF(U38="ja",1,0)</f>
        <v>0</v>
      </c>
      <c r="AQ38" s="2" t="n">
        <f aca="false">IF(V38="ja",1,0)</f>
        <v>0</v>
      </c>
      <c r="AR38" s="2" t="n">
        <f aca="false">IF(W38="Bennett",1,IF(W38="meting",0.5,0))</f>
        <v>1</v>
      </c>
      <c r="AS38" s="2" t="n">
        <f aca="false">IF(X38="ja",1,0)</f>
        <v>0</v>
      </c>
      <c r="AT38" s="2" t="n">
        <f aca="false">Z38/5</f>
        <v>0.4</v>
      </c>
      <c r="AU38" s="2" t="n">
        <f aca="false">AA38/5</f>
        <v>1</v>
      </c>
    </row>
    <row r="39" customFormat="false" ht="15" hidden="false" customHeight="false" outlineLevel="0" collapsed="false">
      <c r="A39" s="2" t="s">
        <v>456</v>
      </c>
      <c r="B39" s="5" t="s">
        <v>457</v>
      </c>
      <c r="C39" s="6" t="s">
        <v>458</v>
      </c>
      <c r="D39" s="6" t="s">
        <v>87</v>
      </c>
      <c r="E39" s="6" t="n">
        <v>2026</v>
      </c>
      <c r="F39" s="5" t="s">
        <v>459</v>
      </c>
      <c r="G39" s="6" t="s">
        <v>460</v>
      </c>
      <c r="H39" s="6" t="s">
        <v>76</v>
      </c>
      <c r="I39" s="6" t="n">
        <v>0</v>
      </c>
      <c r="J39" s="6" t="s">
        <v>90</v>
      </c>
      <c r="K39" s="6" t="n">
        <v>1</v>
      </c>
      <c r="L39" s="6" t="s">
        <v>76</v>
      </c>
      <c r="M39" s="6" t="s">
        <v>76</v>
      </c>
      <c r="N39" s="6" t="s">
        <v>76</v>
      </c>
      <c r="O39" s="6" t="s">
        <v>77</v>
      </c>
      <c r="P39" s="6" t="s">
        <v>78</v>
      </c>
      <c r="Q39" s="6" t="s">
        <v>74</v>
      </c>
      <c r="R39" s="6" t="s">
        <v>74</v>
      </c>
      <c r="S39" s="6" t="s">
        <v>74</v>
      </c>
      <c r="T39" s="6" t="s">
        <v>73</v>
      </c>
      <c r="U39" s="6" t="s">
        <v>76</v>
      </c>
      <c r="V39" s="6" t="s">
        <v>76</v>
      </c>
      <c r="W39" s="6" t="s">
        <v>90</v>
      </c>
      <c r="X39" s="6" t="s">
        <v>76</v>
      </c>
      <c r="Y39" s="6" t="s">
        <v>82</v>
      </c>
      <c r="Z39" s="6" t="n">
        <v>5</v>
      </c>
      <c r="AA39" s="6" t="n">
        <v>3</v>
      </c>
      <c r="AB39" s="6" t="s">
        <v>354</v>
      </c>
      <c r="AC39" s="6" t="s">
        <v>354</v>
      </c>
      <c r="AD39" s="6" t="s">
        <v>76</v>
      </c>
      <c r="AE39" s="6" t="s">
        <v>73</v>
      </c>
      <c r="AF39" s="5" t="s">
        <v>461</v>
      </c>
      <c r="AG39" s="3"/>
      <c r="AH39" s="2" t="n">
        <f aca="false">IF(H39="ja",1,0)</f>
        <v>0</v>
      </c>
      <c r="AI39" s="2" t="n">
        <f aca="false">IF(J39="schoon",1,IF(J39="vuil",0.5,0))</f>
        <v>0</v>
      </c>
      <c r="AJ39" s="2" t="n">
        <f aca="false">K39/5</f>
        <v>0.2</v>
      </c>
      <c r="AK39" s="2" t="n">
        <f aca="false">IF(L39="ja",1,0)</f>
        <v>0</v>
      </c>
      <c r="AL39" s="2" t="n">
        <f aca="false">IF(M39="ja",1,0)</f>
        <v>0</v>
      </c>
      <c r="AM39" s="2" t="n">
        <f aca="false">IF(N39="ja",1,0)</f>
        <v>0</v>
      </c>
      <c r="AN39" s="2" t="n">
        <f aca="false">IF(O39="exact",1,0)</f>
        <v>1</v>
      </c>
      <c r="AO39" s="2" t="n">
        <f aca="false">IF(T39="ja",1,0)</f>
        <v>1</v>
      </c>
      <c r="AP39" s="2" t="n">
        <f aca="false">IF(U39="ja",1,0)</f>
        <v>0</v>
      </c>
      <c r="AQ39" s="2" t="n">
        <f aca="false">IF(V39="ja",1,0)</f>
        <v>0</v>
      </c>
      <c r="AR39" s="2" t="n">
        <f aca="false">IF(W39="Bennett",1,IF(W39="meting",0.5,0))</f>
        <v>0</v>
      </c>
      <c r="AS39" s="2" t="n">
        <f aca="false">IF(X39="ja",1,0)</f>
        <v>0</v>
      </c>
      <c r="AT39" s="2" t="n">
        <f aca="false">Z39/5</f>
        <v>1</v>
      </c>
      <c r="AU39" s="2" t="n">
        <f aca="false">AA39/5</f>
        <v>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2" min="2" style="0" width="42"/>
    <col collapsed="false" customWidth="true" hidden="false" outlineLevel="0" max="4" min="3" style="0" width="16"/>
    <col collapsed="false" customWidth="true" hidden="false" outlineLevel="0" max="5" min="5" style="0" width="7"/>
    <col collapsed="false" customWidth="true" hidden="false" outlineLevel="0" max="6" min="6" style="0" width="34"/>
    <col collapsed="false" customWidth="true" hidden="false" outlineLevel="0" max="31" min="7" style="0" width="12"/>
    <col collapsed="false" customWidth="true" hidden="false" outlineLevel="0" max="32" min="32" style="0" width="70"/>
    <col collapsed="false" customWidth="true" hidden="false" outlineLevel="0" max="47" min="33" style="0" width="12"/>
  </cols>
  <sheetData>
    <row r="1" customFormat="false" ht="15" hidden="false" customHeight="false" outlineLevel="0" collapsed="false">
      <c r="A1" s="1" t="s">
        <v>462</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row>
    <row r="2" customFormat="false" ht="15" hidden="false" customHeight="false" outlineLevel="0" collapsed="false">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row>
    <row r="3" customFormat="false" ht="52.2" hidden="false" customHeight="false" outlineLevel="0" collapsed="false">
      <c r="A3" s="4" t="s">
        <v>20</v>
      </c>
      <c r="B3" s="4" t="s">
        <v>21</v>
      </c>
      <c r="C3" s="4" t="s">
        <v>22</v>
      </c>
      <c r="D3" s="4" t="s">
        <v>23</v>
      </c>
      <c r="E3" s="4" t="s">
        <v>24</v>
      </c>
      <c r="F3" s="4" t="s">
        <v>25</v>
      </c>
      <c r="G3" s="4" t="s">
        <v>26</v>
      </c>
      <c r="H3" s="4" t="s">
        <v>27</v>
      </c>
      <c r="I3" s="4" t="s">
        <v>28</v>
      </c>
      <c r="J3" s="4" t="s">
        <v>29</v>
      </c>
      <c r="K3" s="4" t="s">
        <v>30</v>
      </c>
      <c r="L3" s="4" t="s">
        <v>31</v>
      </c>
      <c r="M3" s="4" t="s">
        <v>32</v>
      </c>
      <c r="N3" s="4" t="s">
        <v>33</v>
      </c>
      <c r="O3" s="4" t="s">
        <v>34</v>
      </c>
      <c r="P3" s="4" t="s">
        <v>35</v>
      </c>
      <c r="Q3" s="4" t="s">
        <v>36</v>
      </c>
      <c r="R3" s="4" t="s">
        <v>37</v>
      </c>
      <c r="S3" s="4" t="s">
        <v>38</v>
      </c>
      <c r="T3" s="4" t="s">
        <v>39</v>
      </c>
      <c r="U3" s="4" t="s">
        <v>40</v>
      </c>
      <c r="V3" s="4" t="s">
        <v>41</v>
      </c>
      <c r="W3" s="4" t="s">
        <v>42</v>
      </c>
      <c r="X3" s="4" t="s">
        <v>43</v>
      </c>
      <c r="Y3" s="4" t="s">
        <v>44</v>
      </c>
      <c r="Z3" s="4" t="s">
        <v>45</v>
      </c>
      <c r="AA3" s="4" t="s">
        <v>46</v>
      </c>
      <c r="AB3" s="4" t="s">
        <v>47</v>
      </c>
      <c r="AC3" s="4" t="s">
        <v>48</v>
      </c>
      <c r="AD3" s="4" t="s">
        <v>49</v>
      </c>
      <c r="AE3" s="4" t="s">
        <v>50</v>
      </c>
      <c r="AF3" s="4" t="s">
        <v>51</v>
      </c>
      <c r="AG3" s="4"/>
      <c r="AH3" s="4" t="s">
        <v>52</v>
      </c>
      <c r="AI3" s="4" t="s">
        <v>53</v>
      </c>
      <c r="AJ3" s="4" t="s">
        <v>54</v>
      </c>
      <c r="AK3" s="4" t="s">
        <v>55</v>
      </c>
      <c r="AL3" s="4" t="s">
        <v>56</v>
      </c>
      <c r="AM3" s="4" t="s">
        <v>57</v>
      </c>
      <c r="AN3" s="4" t="s">
        <v>58</v>
      </c>
      <c r="AO3" s="4" t="s">
        <v>59</v>
      </c>
      <c r="AP3" s="4" t="s">
        <v>60</v>
      </c>
      <c r="AQ3" s="4" t="s">
        <v>61</v>
      </c>
      <c r="AR3" s="4" t="s">
        <v>62</v>
      </c>
      <c r="AS3" s="4" t="s">
        <v>63</v>
      </c>
      <c r="AT3" s="4" t="s">
        <v>64</v>
      </c>
      <c r="AU3" s="4" t="s">
        <v>65</v>
      </c>
    </row>
    <row r="4" customFormat="false" ht="26.85" hidden="false" customHeight="false" outlineLevel="0" collapsed="false">
      <c r="A4" s="2" t="s">
        <v>463</v>
      </c>
      <c r="B4" s="5" t="s">
        <v>464</v>
      </c>
      <c r="C4" s="6" t="s">
        <v>465</v>
      </c>
      <c r="D4" s="6" t="s">
        <v>152</v>
      </c>
      <c r="E4" s="6" t="n">
        <v>1995</v>
      </c>
      <c r="F4" s="5" t="s">
        <v>466</v>
      </c>
      <c r="G4" s="6" t="s">
        <v>467</v>
      </c>
      <c r="H4" s="6" t="s">
        <v>76</v>
      </c>
      <c r="I4" s="6" t="n">
        <v>0</v>
      </c>
      <c r="J4" s="6" t="s">
        <v>90</v>
      </c>
      <c r="K4" s="6" t="n">
        <v>1</v>
      </c>
      <c r="L4" s="6" t="s">
        <v>73</v>
      </c>
      <c r="M4" s="6" t="s">
        <v>76</v>
      </c>
      <c r="N4" s="6" t="s">
        <v>76</v>
      </c>
      <c r="O4" s="6" t="s">
        <v>77</v>
      </c>
      <c r="P4" s="6" t="s">
        <v>78</v>
      </c>
      <c r="Q4" s="6" t="s">
        <v>468</v>
      </c>
      <c r="R4" s="6" t="s">
        <v>74</v>
      </c>
      <c r="S4" s="6" t="s">
        <v>104</v>
      </c>
      <c r="T4" s="6" t="s">
        <v>73</v>
      </c>
      <c r="U4" s="6" t="s">
        <v>76</v>
      </c>
      <c r="V4" s="6" t="s">
        <v>76</v>
      </c>
      <c r="W4" s="6" t="s">
        <v>90</v>
      </c>
      <c r="X4" s="6" t="s">
        <v>76</v>
      </c>
      <c r="Y4" s="6" t="s">
        <v>82</v>
      </c>
      <c r="Z4" s="6" t="n">
        <v>1</v>
      </c>
      <c r="AA4" s="6" t="n">
        <v>5</v>
      </c>
      <c r="AB4" s="6" t="n">
        <v>0</v>
      </c>
      <c r="AC4" s="6" t="n">
        <v>0</v>
      </c>
      <c r="AD4" s="6" t="s">
        <v>73</v>
      </c>
      <c r="AE4" s="6" t="s">
        <v>73</v>
      </c>
      <c r="AF4" s="5" t="s">
        <v>469</v>
      </c>
      <c r="AG4" s="3"/>
      <c r="AH4" s="2" t="n">
        <f aca="false">IF(H4="ja",1,0)</f>
        <v>0</v>
      </c>
      <c r="AI4" s="2" t="n">
        <f aca="false">IF(J4="schoon",1,IF(J4="vuil",0.5,0))</f>
        <v>0</v>
      </c>
      <c r="AJ4" s="2" t="n">
        <f aca="false">K4/5</f>
        <v>0.2</v>
      </c>
      <c r="AK4" s="2" t="n">
        <f aca="false">IF(L4="ja",1,0)</f>
        <v>1</v>
      </c>
      <c r="AL4" s="2" t="n">
        <f aca="false">IF(M4="ja",1,0)</f>
        <v>0</v>
      </c>
      <c r="AM4" s="2" t="n">
        <f aca="false">IF(N4="ja",1,0)</f>
        <v>0</v>
      </c>
      <c r="AN4" s="2" t="n">
        <f aca="false">IF(O4="exact",1,0)</f>
        <v>1</v>
      </c>
      <c r="AO4" s="2" t="n">
        <f aca="false">IF(T4="ja",1,0)</f>
        <v>1</v>
      </c>
      <c r="AP4" s="2" t="n">
        <f aca="false">IF(U4="ja",1,0)</f>
        <v>0</v>
      </c>
      <c r="AQ4" s="2" t="n">
        <f aca="false">IF(V4="ja",1,0)</f>
        <v>0</v>
      </c>
      <c r="AR4" s="2" t="n">
        <f aca="false">IF(W4="Bennett",1,IF(W4="meting",0.5,0))</f>
        <v>0</v>
      </c>
      <c r="AS4" s="2" t="n">
        <f aca="false">IF(X4="ja",1,0)</f>
        <v>0</v>
      </c>
      <c r="AT4" s="2" t="n">
        <f aca="false">Z4/5</f>
        <v>0.2</v>
      </c>
      <c r="AU4" s="2" t="n">
        <f aca="false">AA4/5</f>
        <v>1</v>
      </c>
    </row>
    <row r="5" customFormat="false" ht="15" hidden="false" customHeight="false" outlineLevel="0" collapsed="false">
      <c r="A5" s="2" t="s">
        <v>470</v>
      </c>
      <c r="B5" s="5" t="s">
        <v>471</v>
      </c>
      <c r="C5" s="6" t="s">
        <v>465</v>
      </c>
      <c r="D5" s="6" t="s">
        <v>152</v>
      </c>
      <c r="E5" s="6" t="n">
        <v>1995</v>
      </c>
      <c r="F5" s="5" t="s">
        <v>472</v>
      </c>
      <c r="G5" s="6" t="s">
        <v>467</v>
      </c>
      <c r="H5" s="6" t="s">
        <v>76</v>
      </c>
      <c r="I5" s="6" t="n">
        <v>0</v>
      </c>
      <c r="J5" s="6" t="s">
        <v>90</v>
      </c>
      <c r="K5" s="6" t="n">
        <v>1</v>
      </c>
      <c r="L5" s="6" t="s">
        <v>76</v>
      </c>
      <c r="M5" s="6" t="s">
        <v>76</v>
      </c>
      <c r="N5" s="6" t="s">
        <v>76</v>
      </c>
      <c r="O5" s="6" t="s">
        <v>77</v>
      </c>
      <c r="P5" s="6" t="s">
        <v>78</v>
      </c>
      <c r="Q5" s="6" t="s">
        <v>468</v>
      </c>
      <c r="R5" s="6" t="s">
        <v>74</v>
      </c>
      <c r="S5" s="6" t="s">
        <v>104</v>
      </c>
      <c r="T5" s="6" t="s">
        <v>73</v>
      </c>
      <c r="U5" s="6" t="s">
        <v>76</v>
      </c>
      <c r="V5" s="6" t="s">
        <v>76</v>
      </c>
      <c r="W5" s="6" t="s">
        <v>90</v>
      </c>
      <c r="X5" s="6" t="s">
        <v>76</v>
      </c>
      <c r="Y5" s="6" t="s">
        <v>82</v>
      </c>
      <c r="Z5" s="6" t="n">
        <v>1</v>
      </c>
      <c r="AA5" s="6" t="n">
        <v>5</v>
      </c>
      <c r="AB5" s="6" t="n">
        <v>0</v>
      </c>
      <c r="AC5" s="6" t="n">
        <v>0</v>
      </c>
      <c r="AD5" s="6" t="s">
        <v>73</v>
      </c>
      <c r="AE5" s="6" t="s">
        <v>73</v>
      </c>
      <c r="AF5" s="5" t="s">
        <v>473</v>
      </c>
      <c r="AG5" s="3"/>
      <c r="AH5" s="2" t="n">
        <f aca="false">IF(H5="ja",1,0)</f>
        <v>0</v>
      </c>
      <c r="AI5" s="2" t="n">
        <f aca="false">IF(J5="schoon",1,IF(J5="vuil",0.5,0))</f>
        <v>0</v>
      </c>
      <c r="AJ5" s="2" t="n">
        <f aca="false">K5/5</f>
        <v>0.2</v>
      </c>
      <c r="AK5" s="2" t="n">
        <f aca="false">IF(L5="ja",1,0)</f>
        <v>0</v>
      </c>
      <c r="AL5" s="2" t="n">
        <f aca="false">IF(M5="ja",1,0)</f>
        <v>0</v>
      </c>
      <c r="AM5" s="2" t="n">
        <f aca="false">IF(N5="ja",1,0)</f>
        <v>0</v>
      </c>
      <c r="AN5" s="2" t="n">
        <f aca="false">IF(O5="exact",1,0)</f>
        <v>1</v>
      </c>
      <c r="AO5" s="2" t="n">
        <f aca="false">IF(T5="ja",1,0)</f>
        <v>1</v>
      </c>
      <c r="AP5" s="2" t="n">
        <f aca="false">IF(U5="ja",1,0)</f>
        <v>0</v>
      </c>
      <c r="AQ5" s="2" t="n">
        <f aca="false">IF(V5="ja",1,0)</f>
        <v>0</v>
      </c>
      <c r="AR5" s="2" t="n">
        <f aca="false">IF(W5="Bennett",1,IF(W5="meting",0.5,0))</f>
        <v>0</v>
      </c>
      <c r="AS5" s="2" t="n">
        <f aca="false">IF(X5="ja",1,0)</f>
        <v>0</v>
      </c>
      <c r="AT5" s="2" t="n">
        <f aca="false">Z5/5</f>
        <v>0.2</v>
      </c>
      <c r="AU5" s="2" t="n">
        <f aca="false">AA5/5</f>
        <v>1</v>
      </c>
    </row>
    <row r="6" customFormat="false" ht="15" hidden="false" customHeight="false" outlineLevel="0" collapsed="false">
      <c r="A6" s="2" t="s">
        <v>474</v>
      </c>
      <c r="B6" s="5" t="s">
        <v>475</v>
      </c>
      <c r="C6" s="6" t="s">
        <v>476</v>
      </c>
      <c r="D6" s="6" t="s">
        <v>152</v>
      </c>
      <c r="E6" s="6" t="n">
        <v>1995</v>
      </c>
      <c r="F6" s="5" t="s">
        <v>477</v>
      </c>
      <c r="G6" s="6" t="s">
        <v>100</v>
      </c>
      <c r="H6" s="6" t="s">
        <v>76</v>
      </c>
      <c r="I6" s="6" t="n">
        <v>0</v>
      </c>
      <c r="J6" s="6" t="s">
        <v>90</v>
      </c>
      <c r="K6" s="6" t="n">
        <v>1</v>
      </c>
      <c r="L6" s="6" t="s">
        <v>76</v>
      </c>
      <c r="M6" s="6" t="s">
        <v>73</v>
      </c>
      <c r="N6" s="6" t="s">
        <v>76</v>
      </c>
      <c r="O6" s="6" t="s">
        <v>77</v>
      </c>
      <c r="P6" s="6" t="s">
        <v>78</v>
      </c>
      <c r="Q6" s="6" t="s">
        <v>468</v>
      </c>
      <c r="R6" s="6" t="s">
        <v>74</v>
      </c>
      <c r="S6" s="6" t="s">
        <v>104</v>
      </c>
      <c r="T6" s="6" t="s">
        <v>73</v>
      </c>
      <c r="U6" s="6" t="s">
        <v>76</v>
      </c>
      <c r="V6" s="6" t="s">
        <v>76</v>
      </c>
      <c r="W6" s="6" t="s">
        <v>105</v>
      </c>
      <c r="X6" s="6" t="s">
        <v>76</v>
      </c>
      <c r="Y6" s="6" t="s">
        <v>106</v>
      </c>
      <c r="Z6" s="6" t="n">
        <v>1</v>
      </c>
      <c r="AA6" s="6" t="n">
        <v>5</v>
      </c>
      <c r="AB6" s="6" t="n">
        <v>0</v>
      </c>
      <c r="AC6" s="6" t="n">
        <v>0</v>
      </c>
      <c r="AD6" s="6" t="s">
        <v>73</v>
      </c>
      <c r="AE6" s="6" t="s">
        <v>73</v>
      </c>
      <c r="AF6" s="5" t="s">
        <v>478</v>
      </c>
      <c r="AG6" s="3"/>
      <c r="AH6" s="2" t="n">
        <f aca="false">IF(H6="ja",1,0)</f>
        <v>0</v>
      </c>
      <c r="AI6" s="2" t="n">
        <f aca="false">IF(J6="schoon",1,IF(J6="vuil",0.5,0))</f>
        <v>0</v>
      </c>
      <c r="AJ6" s="2" t="n">
        <f aca="false">K6/5</f>
        <v>0.2</v>
      </c>
      <c r="AK6" s="2" t="n">
        <f aca="false">IF(L6="ja",1,0)</f>
        <v>0</v>
      </c>
      <c r="AL6" s="2" t="n">
        <f aca="false">IF(M6="ja",1,0)</f>
        <v>1</v>
      </c>
      <c r="AM6" s="2" t="n">
        <f aca="false">IF(N6="ja",1,0)</f>
        <v>0</v>
      </c>
      <c r="AN6" s="2" t="n">
        <f aca="false">IF(O6="exact",1,0)</f>
        <v>1</v>
      </c>
      <c r="AO6" s="2" t="n">
        <f aca="false">IF(T6="ja",1,0)</f>
        <v>1</v>
      </c>
      <c r="AP6" s="2" t="n">
        <f aca="false">IF(U6="ja",1,0)</f>
        <v>0</v>
      </c>
      <c r="AQ6" s="2" t="n">
        <f aca="false">IF(V6="ja",1,0)</f>
        <v>0</v>
      </c>
      <c r="AR6" s="2" t="n">
        <f aca="false">IF(W6="Bennett",1,IF(W6="meting",0.5,0))</f>
        <v>0.5</v>
      </c>
      <c r="AS6" s="2" t="n">
        <f aca="false">IF(X6="ja",1,0)</f>
        <v>0</v>
      </c>
      <c r="AT6" s="2" t="n">
        <f aca="false">Z6/5</f>
        <v>0.2</v>
      </c>
      <c r="AU6" s="2" t="n">
        <f aca="false">AA6/5</f>
        <v>1</v>
      </c>
    </row>
    <row r="7" customFormat="false" ht="26.85" hidden="false" customHeight="false" outlineLevel="0" collapsed="false">
      <c r="A7" s="2" t="s">
        <v>479</v>
      </c>
      <c r="B7" s="5" t="s">
        <v>480</v>
      </c>
      <c r="C7" s="6" t="s">
        <v>476</v>
      </c>
      <c r="D7" s="6" t="s">
        <v>152</v>
      </c>
      <c r="E7" s="6" t="n">
        <v>2018</v>
      </c>
      <c r="F7" s="5" t="s">
        <v>481</v>
      </c>
      <c r="G7" s="6" t="s">
        <v>89</v>
      </c>
      <c r="H7" s="6" t="s">
        <v>76</v>
      </c>
      <c r="I7" s="6" t="n">
        <v>0</v>
      </c>
      <c r="J7" s="6" t="s">
        <v>90</v>
      </c>
      <c r="K7" s="6" t="n">
        <v>1</v>
      </c>
      <c r="L7" s="6" t="s">
        <v>76</v>
      </c>
      <c r="M7" s="6" t="s">
        <v>73</v>
      </c>
      <c r="N7" s="6" t="s">
        <v>73</v>
      </c>
      <c r="O7" s="6" t="s">
        <v>77</v>
      </c>
      <c r="P7" s="6" t="s">
        <v>78</v>
      </c>
      <c r="Q7" s="6" t="s">
        <v>468</v>
      </c>
      <c r="R7" s="6" t="s">
        <v>74</v>
      </c>
      <c r="S7" s="6" t="s">
        <v>104</v>
      </c>
      <c r="T7" s="6" t="s">
        <v>73</v>
      </c>
      <c r="U7" s="6" t="s">
        <v>76</v>
      </c>
      <c r="V7" s="6" t="s">
        <v>76</v>
      </c>
      <c r="W7" s="6" t="s">
        <v>105</v>
      </c>
      <c r="X7" s="6" t="s">
        <v>76</v>
      </c>
      <c r="Y7" s="6" t="s">
        <v>153</v>
      </c>
      <c r="Z7" s="6" t="n">
        <v>2</v>
      </c>
      <c r="AA7" s="6" t="n">
        <v>5</v>
      </c>
      <c r="AB7" s="6" t="n">
        <v>0</v>
      </c>
      <c r="AC7" s="6" t="n">
        <v>0</v>
      </c>
      <c r="AD7" s="6" t="s">
        <v>73</v>
      </c>
      <c r="AE7" s="6" t="s">
        <v>73</v>
      </c>
      <c r="AF7" s="5" t="s">
        <v>482</v>
      </c>
      <c r="AG7" s="3"/>
      <c r="AH7" s="2" t="n">
        <f aca="false">IF(H7="ja",1,0)</f>
        <v>0</v>
      </c>
      <c r="AI7" s="2" t="n">
        <f aca="false">IF(J7="schoon",1,IF(J7="vuil",0.5,0))</f>
        <v>0</v>
      </c>
      <c r="AJ7" s="2" t="n">
        <f aca="false">K7/5</f>
        <v>0.2</v>
      </c>
      <c r="AK7" s="2" t="n">
        <f aca="false">IF(L7="ja",1,0)</f>
        <v>0</v>
      </c>
      <c r="AL7" s="2" t="n">
        <f aca="false">IF(M7="ja",1,0)</f>
        <v>1</v>
      </c>
      <c r="AM7" s="2" t="n">
        <f aca="false">IF(N7="ja",1,0)</f>
        <v>1</v>
      </c>
      <c r="AN7" s="2" t="n">
        <f aca="false">IF(O7="exact",1,0)</f>
        <v>1</v>
      </c>
      <c r="AO7" s="2" t="n">
        <f aca="false">IF(T7="ja",1,0)</f>
        <v>1</v>
      </c>
      <c r="AP7" s="2" t="n">
        <f aca="false">IF(U7="ja",1,0)</f>
        <v>0</v>
      </c>
      <c r="AQ7" s="2" t="n">
        <f aca="false">IF(V7="ja",1,0)</f>
        <v>0</v>
      </c>
      <c r="AR7" s="2" t="n">
        <f aca="false">IF(W7="Bennett",1,IF(W7="meting",0.5,0))</f>
        <v>0.5</v>
      </c>
      <c r="AS7" s="2" t="n">
        <f aca="false">IF(X7="ja",1,0)</f>
        <v>0</v>
      </c>
      <c r="AT7" s="2" t="n">
        <f aca="false">Z7/5</f>
        <v>0.4</v>
      </c>
      <c r="AU7" s="2" t="n">
        <f aca="false">AA7/5</f>
        <v>1</v>
      </c>
    </row>
    <row r="8" customFormat="false" ht="15" hidden="false" customHeight="false" outlineLevel="0" collapsed="false">
      <c r="A8" s="2" t="s">
        <v>483</v>
      </c>
      <c r="B8" s="5" t="s">
        <v>484</v>
      </c>
      <c r="C8" s="6" t="s">
        <v>465</v>
      </c>
      <c r="D8" s="6" t="s">
        <v>87</v>
      </c>
      <c r="E8" s="6" t="n">
        <v>1980</v>
      </c>
      <c r="F8" s="5" t="s">
        <v>485</v>
      </c>
      <c r="G8" s="6" t="s">
        <v>467</v>
      </c>
      <c r="H8" s="6" t="s">
        <v>76</v>
      </c>
      <c r="I8" s="6" t="n">
        <v>0</v>
      </c>
      <c r="J8" s="6" t="s">
        <v>90</v>
      </c>
      <c r="K8" s="6" t="n">
        <v>1</v>
      </c>
      <c r="L8" s="6" t="s">
        <v>73</v>
      </c>
      <c r="M8" s="6" t="s">
        <v>76</v>
      </c>
      <c r="N8" s="6" t="s">
        <v>76</v>
      </c>
      <c r="O8" s="6" t="s">
        <v>77</v>
      </c>
      <c r="P8" s="6" t="s">
        <v>78</v>
      </c>
      <c r="Q8" s="6" t="s">
        <v>486</v>
      </c>
      <c r="R8" s="6" t="s">
        <v>74</v>
      </c>
      <c r="S8" s="6" t="s">
        <v>104</v>
      </c>
      <c r="T8" s="6" t="s">
        <v>73</v>
      </c>
      <c r="U8" s="6" t="s">
        <v>76</v>
      </c>
      <c r="V8" s="6" t="s">
        <v>76</v>
      </c>
      <c r="W8" s="6" t="s">
        <v>81</v>
      </c>
      <c r="X8" s="6" t="s">
        <v>76</v>
      </c>
      <c r="Y8" s="6" t="s">
        <v>82</v>
      </c>
      <c r="Z8" s="6" t="n">
        <v>1</v>
      </c>
      <c r="AA8" s="6" t="n">
        <v>5</v>
      </c>
      <c r="AB8" s="6" t="n">
        <v>0</v>
      </c>
      <c r="AC8" s="6" t="n">
        <v>0</v>
      </c>
      <c r="AD8" s="6" t="s">
        <v>73</v>
      </c>
      <c r="AE8" s="6" t="s">
        <v>73</v>
      </c>
      <c r="AF8" s="5" t="s">
        <v>487</v>
      </c>
      <c r="AG8" s="3"/>
      <c r="AH8" s="2" t="n">
        <f aca="false">IF(H8="ja",1,0)</f>
        <v>0</v>
      </c>
      <c r="AI8" s="2" t="n">
        <f aca="false">IF(J8="schoon",1,IF(J8="vuil",0.5,0))</f>
        <v>0</v>
      </c>
      <c r="AJ8" s="2" t="n">
        <f aca="false">K8/5</f>
        <v>0.2</v>
      </c>
      <c r="AK8" s="2" t="n">
        <f aca="false">IF(L8="ja",1,0)</f>
        <v>1</v>
      </c>
      <c r="AL8" s="2" t="n">
        <f aca="false">IF(M8="ja",1,0)</f>
        <v>0</v>
      </c>
      <c r="AM8" s="2" t="n">
        <f aca="false">IF(N8="ja",1,0)</f>
        <v>0</v>
      </c>
      <c r="AN8" s="2" t="n">
        <f aca="false">IF(O8="exact",1,0)</f>
        <v>1</v>
      </c>
      <c r="AO8" s="2" t="n">
        <f aca="false">IF(T8="ja",1,0)</f>
        <v>1</v>
      </c>
      <c r="AP8" s="2" t="n">
        <f aca="false">IF(U8="ja",1,0)</f>
        <v>0</v>
      </c>
      <c r="AQ8" s="2" t="n">
        <f aca="false">IF(V8="ja",1,0)</f>
        <v>0</v>
      </c>
      <c r="AR8" s="2" t="n">
        <f aca="false">IF(W8="Bennett",1,IF(W8="meting",0.5,0))</f>
        <v>1</v>
      </c>
      <c r="AS8" s="2" t="n">
        <f aca="false">IF(X8="ja",1,0)</f>
        <v>0</v>
      </c>
      <c r="AT8" s="2" t="n">
        <f aca="false">Z8/5</f>
        <v>0.2</v>
      </c>
      <c r="AU8" s="2" t="n">
        <f aca="false">AA8/5</f>
        <v>1</v>
      </c>
    </row>
    <row r="9" customFormat="false" ht="15" hidden="false" customHeight="false" outlineLevel="0" collapsed="false">
      <c r="A9" s="2" t="s">
        <v>488</v>
      </c>
      <c r="B9" s="5" t="s">
        <v>489</v>
      </c>
      <c r="C9" s="6" t="s">
        <v>465</v>
      </c>
      <c r="D9" s="6" t="s">
        <v>87</v>
      </c>
      <c r="E9" s="6" t="n">
        <v>1982</v>
      </c>
      <c r="F9" s="5" t="s">
        <v>490</v>
      </c>
      <c r="G9" s="6" t="s">
        <v>467</v>
      </c>
      <c r="H9" s="6" t="s">
        <v>76</v>
      </c>
      <c r="I9" s="6" t="n">
        <v>0</v>
      </c>
      <c r="J9" s="6" t="s">
        <v>90</v>
      </c>
      <c r="K9" s="6" t="n">
        <v>1</v>
      </c>
      <c r="L9" s="6" t="s">
        <v>73</v>
      </c>
      <c r="M9" s="6" t="s">
        <v>76</v>
      </c>
      <c r="N9" s="6" t="s">
        <v>76</v>
      </c>
      <c r="O9" s="6" t="s">
        <v>77</v>
      </c>
      <c r="P9" s="6" t="s">
        <v>78</v>
      </c>
      <c r="Q9" s="6" t="s">
        <v>486</v>
      </c>
      <c r="R9" s="6" t="s">
        <v>74</v>
      </c>
      <c r="S9" s="6" t="s">
        <v>104</v>
      </c>
      <c r="T9" s="6" t="s">
        <v>73</v>
      </c>
      <c r="U9" s="6" t="s">
        <v>76</v>
      </c>
      <c r="V9" s="6" t="s">
        <v>76</v>
      </c>
      <c r="W9" s="6" t="s">
        <v>81</v>
      </c>
      <c r="X9" s="6" t="s">
        <v>76</v>
      </c>
      <c r="Y9" s="6" t="s">
        <v>82</v>
      </c>
      <c r="Z9" s="6" t="n">
        <v>1</v>
      </c>
      <c r="AA9" s="6" t="n">
        <v>5</v>
      </c>
      <c r="AB9" s="6" t="n">
        <v>0</v>
      </c>
      <c r="AC9" s="6" t="n">
        <v>0</v>
      </c>
      <c r="AD9" s="6" t="s">
        <v>73</v>
      </c>
      <c r="AE9" s="6" t="s">
        <v>73</v>
      </c>
      <c r="AF9" s="5" t="s">
        <v>491</v>
      </c>
      <c r="AG9" s="3"/>
      <c r="AH9" s="2" t="n">
        <f aca="false">IF(H9="ja",1,0)</f>
        <v>0</v>
      </c>
      <c r="AI9" s="2" t="n">
        <f aca="false">IF(J9="schoon",1,IF(J9="vuil",0.5,0))</f>
        <v>0</v>
      </c>
      <c r="AJ9" s="2" t="n">
        <f aca="false">K9/5</f>
        <v>0.2</v>
      </c>
      <c r="AK9" s="2" t="n">
        <f aca="false">IF(L9="ja",1,0)</f>
        <v>1</v>
      </c>
      <c r="AL9" s="2" t="n">
        <f aca="false">IF(M9="ja",1,0)</f>
        <v>0</v>
      </c>
      <c r="AM9" s="2" t="n">
        <f aca="false">IF(N9="ja",1,0)</f>
        <v>0</v>
      </c>
      <c r="AN9" s="2" t="n">
        <f aca="false">IF(O9="exact",1,0)</f>
        <v>1</v>
      </c>
      <c r="AO9" s="2" t="n">
        <f aca="false">IF(T9="ja",1,0)</f>
        <v>1</v>
      </c>
      <c r="AP9" s="2" t="n">
        <f aca="false">IF(U9="ja",1,0)</f>
        <v>0</v>
      </c>
      <c r="AQ9" s="2" t="n">
        <f aca="false">IF(V9="ja",1,0)</f>
        <v>0</v>
      </c>
      <c r="AR9" s="2" t="n">
        <f aca="false">IF(W9="Bennett",1,IF(W9="meting",0.5,0))</f>
        <v>1</v>
      </c>
      <c r="AS9" s="2" t="n">
        <f aca="false">IF(X9="ja",1,0)</f>
        <v>0</v>
      </c>
      <c r="AT9" s="2" t="n">
        <f aca="false">Z9/5</f>
        <v>0.2</v>
      </c>
      <c r="AU9" s="2" t="n">
        <f aca="false">AA9/5</f>
        <v>1</v>
      </c>
    </row>
    <row r="10" customFormat="false" ht="15" hidden="false" customHeight="false" outlineLevel="0" collapsed="false">
      <c r="A10" s="2" t="s">
        <v>492</v>
      </c>
      <c r="B10" s="5" t="s">
        <v>493</v>
      </c>
      <c r="C10" s="6" t="s">
        <v>465</v>
      </c>
      <c r="D10" s="6" t="s">
        <v>87</v>
      </c>
      <c r="E10" s="6" t="n">
        <v>1985</v>
      </c>
      <c r="F10" s="5" t="s">
        <v>494</v>
      </c>
      <c r="G10" s="6" t="s">
        <v>89</v>
      </c>
      <c r="H10" s="6" t="s">
        <v>76</v>
      </c>
      <c r="I10" s="6" t="n">
        <v>0</v>
      </c>
      <c r="J10" s="6" t="s">
        <v>90</v>
      </c>
      <c r="K10" s="6" t="n">
        <v>1</v>
      </c>
      <c r="L10" s="6" t="s">
        <v>73</v>
      </c>
      <c r="M10" s="6" t="s">
        <v>76</v>
      </c>
      <c r="N10" s="6" t="s">
        <v>76</v>
      </c>
      <c r="O10" s="6" t="s">
        <v>77</v>
      </c>
      <c r="P10" s="6" t="s">
        <v>78</v>
      </c>
      <c r="Q10" s="6" t="s">
        <v>486</v>
      </c>
      <c r="R10" s="6" t="s">
        <v>74</v>
      </c>
      <c r="S10" s="6" t="s">
        <v>104</v>
      </c>
      <c r="T10" s="6" t="s">
        <v>73</v>
      </c>
      <c r="U10" s="6" t="s">
        <v>76</v>
      </c>
      <c r="V10" s="6" t="s">
        <v>76</v>
      </c>
      <c r="W10" s="6" t="s">
        <v>81</v>
      </c>
      <c r="X10" s="6" t="s">
        <v>76</v>
      </c>
      <c r="Y10" s="6" t="s">
        <v>82</v>
      </c>
      <c r="Z10" s="6" t="n">
        <v>1</v>
      </c>
      <c r="AA10" s="6" t="n">
        <v>5</v>
      </c>
      <c r="AB10" s="6" t="n">
        <v>0</v>
      </c>
      <c r="AC10" s="6" t="n">
        <v>0</v>
      </c>
      <c r="AD10" s="6" t="s">
        <v>107</v>
      </c>
      <c r="AE10" s="6" t="s">
        <v>73</v>
      </c>
      <c r="AF10" s="5" t="s">
        <v>495</v>
      </c>
      <c r="AG10" s="3"/>
      <c r="AH10" s="2" t="n">
        <f aca="false">IF(H10="ja",1,0)</f>
        <v>0</v>
      </c>
      <c r="AI10" s="2" t="n">
        <f aca="false">IF(J10="schoon",1,IF(J10="vuil",0.5,0))</f>
        <v>0</v>
      </c>
      <c r="AJ10" s="2" t="n">
        <f aca="false">K10/5</f>
        <v>0.2</v>
      </c>
      <c r="AK10" s="2" t="n">
        <f aca="false">IF(L10="ja",1,0)</f>
        <v>1</v>
      </c>
      <c r="AL10" s="2" t="n">
        <f aca="false">IF(M10="ja",1,0)</f>
        <v>0</v>
      </c>
      <c r="AM10" s="2" t="n">
        <f aca="false">IF(N10="ja",1,0)</f>
        <v>0</v>
      </c>
      <c r="AN10" s="2" t="n">
        <f aca="false">IF(O10="exact",1,0)</f>
        <v>1</v>
      </c>
      <c r="AO10" s="2" t="n">
        <f aca="false">IF(T10="ja",1,0)</f>
        <v>1</v>
      </c>
      <c r="AP10" s="2" t="n">
        <f aca="false">IF(U10="ja",1,0)</f>
        <v>0</v>
      </c>
      <c r="AQ10" s="2" t="n">
        <f aca="false">IF(V10="ja",1,0)</f>
        <v>0</v>
      </c>
      <c r="AR10" s="2" t="n">
        <f aca="false">IF(W10="Bennett",1,IF(W10="meting",0.5,0))</f>
        <v>1</v>
      </c>
      <c r="AS10" s="2" t="n">
        <f aca="false">IF(X10="ja",1,0)</f>
        <v>0</v>
      </c>
      <c r="AT10" s="2" t="n">
        <f aca="false">Z10/5</f>
        <v>0.2</v>
      </c>
      <c r="AU10" s="2" t="n">
        <f aca="false">AA10/5</f>
        <v>1</v>
      </c>
    </row>
    <row r="11" customFormat="false" ht="26.85" hidden="false" customHeight="false" outlineLevel="0" collapsed="false">
      <c r="A11" s="2" t="s">
        <v>496</v>
      </c>
      <c r="B11" s="5" t="s">
        <v>497</v>
      </c>
      <c r="C11" s="6" t="s">
        <v>465</v>
      </c>
      <c r="D11" s="6" t="s">
        <v>152</v>
      </c>
      <c r="E11" s="6" t="n">
        <v>2013</v>
      </c>
      <c r="F11" s="5" t="s">
        <v>498</v>
      </c>
      <c r="G11" s="6" t="s">
        <v>89</v>
      </c>
      <c r="H11" s="6" t="s">
        <v>73</v>
      </c>
      <c r="I11" s="6" t="n">
        <v>1</v>
      </c>
      <c r="J11" s="6" t="s">
        <v>75</v>
      </c>
      <c r="K11" s="6" t="n">
        <v>1</v>
      </c>
      <c r="L11" s="6" t="s">
        <v>73</v>
      </c>
      <c r="M11" s="6" t="s">
        <v>73</v>
      </c>
      <c r="N11" s="6" t="s">
        <v>73</v>
      </c>
      <c r="O11" s="6" t="s">
        <v>77</v>
      </c>
      <c r="P11" s="6" t="s">
        <v>78</v>
      </c>
      <c r="Q11" s="6" t="s">
        <v>499</v>
      </c>
      <c r="R11" s="6" t="s">
        <v>104</v>
      </c>
      <c r="S11" s="6" t="s">
        <v>104</v>
      </c>
      <c r="T11" s="6" t="s">
        <v>73</v>
      </c>
      <c r="U11" s="6" t="s">
        <v>76</v>
      </c>
      <c r="V11" s="6" t="s">
        <v>76</v>
      </c>
      <c r="W11" s="6" t="s">
        <v>105</v>
      </c>
      <c r="X11" s="6" t="s">
        <v>76</v>
      </c>
      <c r="Y11" s="6" t="s">
        <v>106</v>
      </c>
      <c r="Z11" s="6" t="n">
        <v>2</v>
      </c>
      <c r="AA11" s="6" t="n">
        <v>5</v>
      </c>
      <c r="AB11" s="6" t="n">
        <v>0</v>
      </c>
      <c r="AC11" s="6" t="n">
        <v>0</v>
      </c>
      <c r="AD11" s="6" t="s">
        <v>73</v>
      </c>
      <c r="AE11" s="6" t="s">
        <v>73</v>
      </c>
      <c r="AF11" s="5" t="s">
        <v>500</v>
      </c>
      <c r="AG11" s="3"/>
      <c r="AH11" s="2" t="n">
        <f aca="false">IF(H11="ja",1,0)</f>
        <v>1</v>
      </c>
      <c r="AI11" s="2" t="n">
        <f aca="false">IF(J11="schoon",1,IF(J11="vuil",0.5,0))</f>
        <v>1</v>
      </c>
      <c r="AJ11" s="2" t="n">
        <f aca="false">K11/5</f>
        <v>0.2</v>
      </c>
      <c r="AK11" s="2" t="n">
        <f aca="false">IF(L11="ja",1,0)</f>
        <v>1</v>
      </c>
      <c r="AL11" s="2" t="n">
        <f aca="false">IF(M11="ja",1,0)</f>
        <v>1</v>
      </c>
      <c r="AM11" s="2" t="n">
        <f aca="false">IF(N11="ja",1,0)</f>
        <v>1</v>
      </c>
      <c r="AN11" s="2" t="n">
        <f aca="false">IF(O11="exact",1,0)</f>
        <v>1</v>
      </c>
      <c r="AO11" s="2" t="n">
        <f aca="false">IF(T11="ja",1,0)</f>
        <v>1</v>
      </c>
      <c r="AP11" s="2" t="n">
        <f aca="false">IF(U11="ja",1,0)</f>
        <v>0</v>
      </c>
      <c r="AQ11" s="2" t="n">
        <f aca="false">IF(V11="ja",1,0)</f>
        <v>0</v>
      </c>
      <c r="AR11" s="2" t="n">
        <f aca="false">IF(W11="Bennett",1,IF(W11="meting",0.5,0))</f>
        <v>0.5</v>
      </c>
      <c r="AS11" s="2" t="n">
        <f aca="false">IF(X11="ja",1,0)</f>
        <v>0</v>
      </c>
      <c r="AT11" s="2" t="n">
        <f aca="false">Z11/5</f>
        <v>0.4</v>
      </c>
      <c r="AU11" s="2" t="n">
        <f aca="false">AA11/5</f>
        <v>1</v>
      </c>
    </row>
    <row r="12" customFormat="false" ht="15" hidden="false" customHeight="false" outlineLevel="0" collapsed="false">
      <c r="A12" s="2" t="s">
        <v>501</v>
      </c>
      <c r="B12" s="5" t="s">
        <v>502</v>
      </c>
      <c r="C12" s="6" t="s">
        <v>173</v>
      </c>
      <c r="D12" s="6" t="s">
        <v>87</v>
      </c>
      <c r="E12" s="6" t="n">
        <v>1996</v>
      </c>
      <c r="F12" s="5" t="s">
        <v>503</v>
      </c>
      <c r="G12" s="6" t="s">
        <v>467</v>
      </c>
      <c r="H12" s="6" t="s">
        <v>73</v>
      </c>
      <c r="I12" s="6" t="n">
        <v>1</v>
      </c>
      <c r="J12" s="6" t="s">
        <v>75</v>
      </c>
      <c r="K12" s="6" t="n">
        <v>1</v>
      </c>
      <c r="L12" s="6" t="s">
        <v>73</v>
      </c>
      <c r="M12" s="6" t="s">
        <v>76</v>
      </c>
      <c r="N12" s="6" t="s">
        <v>76</v>
      </c>
      <c r="O12" s="6" t="s">
        <v>77</v>
      </c>
      <c r="P12" s="6" t="s">
        <v>78</v>
      </c>
      <c r="Q12" s="6" t="s">
        <v>486</v>
      </c>
      <c r="R12" s="6" t="s">
        <v>104</v>
      </c>
      <c r="S12" s="6" t="s">
        <v>104</v>
      </c>
      <c r="T12" s="6" t="s">
        <v>73</v>
      </c>
      <c r="U12" s="6" t="s">
        <v>76</v>
      </c>
      <c r="V12" s="6" t="s">
        <v>76</v>
      </c>
      <c r="W12" s="6" t="s">
        <v>81</v>
      </c>
      <c r="X12" s="6" t="s">
        <v>76</v>
      </c>
      <c r="Y12" s="6" t="s">
        <v>82</v>
      </c>
      <c r="Z12" s="6" t="n">
        <v>1</v>
      </c>
      <c r="AA12" s="6" t="n">
        <v>5</v>
      </c>
      <c r="AB12" s="6" t="n">
        <v>0</v>
      </c>
      <c r="AC12" s="6" t="n">
        <v>0</v>
      </c>
      <c r="AD12" s="6" t="s">
        <v>73</v>
      </c>
      <c r="AE12" s="6" t="s">
        <v>73</v>
      </c>
      <c r="AF12" s="5" t="s">
        <v>504</v>
      </c>
      <c r="AG12" s="3"/>
      <c r="AH12" s="2" t="n">
        <f aca="false">IF(H12="ja",1,0)</f>
        <v>1</v>
      </c>
      <c r="AI12" s="2" t="n">
        <f aca="false">IF(J12="schoon",1,IF(J12="vuil",0.5,0))</f>
        <v>1</v>
      </c>
      <c r="AJ12" s="2" t="n">
        <f aca="false">K12/5</f>
        <v>0.2</v>
      </c>
      <c r="AK12" s="2" t="n">
        <f aca="false">IF(L12="ja",1,0)</f>
        <v>1</v>
      </c>
      <c r="AL12" s="2" t="n">
        <f aca="false">IF(M12="ja",1,0)</f>
        <v>0</v>
      </c>
      <c r="AM12" s="2" t="n">
        <f aca="false">IF(N12="ja",1,0)</f>
        <v>0</v>
      </c>
      <c r="AN12" s="2" t="n">
        <f aca="false">IF(O12="exact",1,0)</f>
        <v>1</v>
      </c>
      <c r="AO12" s="2" t="n">
        <f aca="false">IF(T12="ja",1,0)</f>
        <v>1</v>
      </c>
      <c r="AP12" s="2" t="n">
        <f aca="false">IF(U12="ja",1,0)</f>
        <v>0</v>
      </c>
      <c r="AQ12" s="2" t="n">
        <f aca="false">IF(V12="ja",1,0)</f>
        <v>0</v>
      </c>
      <c r="AR12" s="2" t="n">
        <f aca="false">IF(W12="Bennett",1,IF(W12="meting",0.5,0))</f>
        <v>1</v>
      </c>
      <c r="AS12" s="2" t="n">
        <f aca="false">IF(X12="ja",1,0)</f>
        <v>0</v>
      </c>
      <c r="AT12" s="2" t="n">
        <f aca="false">Z12/5</f>
        <v>0.2</v>
      </c>
      <c r="AU12" s="2" t="n">
        <f aca="false">AA12/5</f>
        <v>1</v>
      </c>
    </row>
    <row r="13" customFormat="false" ht="15" hidden="false" customHeight="false" outlineLevel="0" collapsed="false">
      <c r="A13" s="2" t="s">
        <v>505</v>
      </c>
      <c r="B13" s="5" t="s">
        <v>506</v>
      </c>
      <c r="C13" s="6" t="s">
        <v>173</v>
      </c>
      <c r="D13" s="6" t="s">
        <v>87</v>
      </c>
      <c r="E13" s="6" t="n">
        <v>2004</v>
      </c>
      <c r="F13" s="5" t="s">
        <v>400</v>
      </c>
      <c r="G13" s="6" t="s">
        <v>467</v>
      </c>
      <c r="H13" s="6" t="s">
        <v>73</v>
      </c>
      <c r="I13" s="6" t="n">
        <v>1</v>
      </c>
      <c r="J13" s="6" t="s">
        <v>75</v>
      </c>
      <c r="K13" s="6" t="n">
        <v>1</v>
      </c>
      <c r="L13" s="6" t="s">
        <v>73</v>
      </c>
      <c r="M13" s="6" t="s">
        <v>76</v>
      </c>
      <c r="N13" s="6" t="s">
        <v>76</v>
      </c>
      <c r="O13" s="6" t="s">
        <v>77</v>
      </c>
      <c r="P13" s="6" t="s">
        <v>78</v>
      </c>
      <c r="Q13" s="6" t="s">
        <v>507</v>
      </c>
      <c r="R13" s="6" t="s">
        <v>104</v>
      </c>
      <c r="S13" s="6" t="s">
        <v>104</v>
      </c>
      <c r="T13" s="6" t="s">
        <v>73</v>
      </c>
      <c r="U13" s="6" t="s">
        <v>76</v>
      </c>
      <c r="V13" s="6" t="s">
        <v>76</v>
      </c>
      <c r="W13" s="6" t="s">
        <v>81</v>
      </c>
      <c r="X13" s="6" t="s">
        <v>76</v>
      </c>
      <c r="Y13" s="6" t="s">
        <v>82</v>
      </c>
      <c r="Z13" s="6" t="n">
        <v>1</v>
      </c>
      <c r="AA13" s="6" t="n">
        <v>5</v>
      </c>
      <c r="AB13" s="6" t="n">
        <v>0</v>
      </c>
      <c r="AC13" s="6" t="n">
        <v>0</v>
      </c>
      <c r="AD13" s="6" t="s">
        <v>76</v>
      </c>
      <c r="AE13" s="6" t="s">
        <v>73</v>
      </c>
      <c r="AF13" s="5" t="s">
        <v>508</v>
      </c>
      <c r="AG13" s="3"/>
      <c r="AH13" s="2" t="n">
        <f aca="false">IF(H13="ja",1,0)</f>
        <v>1</v>
      </c>
      <c r="AI13" s="2" t="n">
        <f aca="false">IF(J13="schoon",1,IF(J13="vuil",0.5,0))</f>
        <v>1</v>
      </c>
      <c r="AJ13" s="2" t="n">
        <f aca="false">K13/5</f>
        <v>0.2</v>
      </c>
      <c r="AK13" s="2" t="n">
        <f aca="false">IF(L13="ja",1,0)</f>
        <v>1</v>
      </c>
      <c r="AL13" s="2" t="n">
        <f aca="false">IF(M13="ja",1,0)</f>
        <v>0</v>
      </c>
      <c r="AM13" s="2" t="n">
        <f aca="false">IF(N13="ja",1,0)</f>
        <v>0</v>
      </c>
      <c r="AN13" s="2" t="n">
        <f aca="false">IF(O13="exact",1,0)</f>
        <v>1</v>
      </c>
      <c r="AO13" s="2" t="n">
        <f aca="false">IF(T13="ja",1,0)</f>
        <v>1</v>
      </c>
      <c r="AP13" s="2" t="n">
        <f aca="false">IF(U13="ja",1,0)</f>
        <v>0</v>
      </c>
      <c r="AQ13" s="2" t="n">
        <f aca="false">IF(V13="ja",1,0)</f>
        <v>0</v>
      </c>
      <c r="AR13" s="2" t="n">
        <f aca="false">IF(W13="Bennett",1,IF(W13="meting",0.5,0))</f>
        <v>1</v>
      </c>
      <c r="AS13" s="2" t="n">
        <f aca="false">IF(X13="ja",1,0)</f>
        <v>0</v>
      </c>
      <c r="AT13" s="2" t="n">
        <f aca="false">Z13/5</f>
        <v>0.2</v>
      </c>
      <c r="AU13" s="2" t="n">
        <f aca="false">AA13/5</f>
        <v>1</v>
      </c>
    </row>
    <row r="14" customFormat="false" ht="15" hidden="false" customHeight="false" outlineLevel="0" collapsed="false">
      <c r="A14" s="2" t="s">
        <v>509</v>
      </c>
      <c r="B14" s="5" t="s">
        <v>510</v>
      </c>
      <c r="C14" s="6" t="s">
        <v>173</v>
      </c>
      <c r="D14" s="6" t="s">
        <v>87</v>
      </c>
      <c r="E14" s="6" t="n">
        <v>1996</v>
      </c>
      <c r="F14" s="5" t="s">
        <v>503</v>
      </c>
      <c r="G14" s="6" t="s">
        <v>89</v>
      </c>
      <c r="H14" s="6" t="s">
        <v>73</v>
      </c>
      <c r="I14" s="6" t="n">
        <v>256</v>
      </c>
      <c r="J14" s="6" t="s">
        <v>75</v>
      </c>
      <c r="K14" s="6" t="n">
        <v>2</v>
      </c>
      <c r="L14" s="6" t="s">
        <v>73</v>
      </c>
      <c r="M14" s="6" t="s">
        <v>76</v>
      </c>
      <c r="N14" s="6" t="s">
        <v>76</v>
      </c>
      <c r="O14" s="6" t="s">
        <v>77</v>
      </c>
      <c r="P14" s="6" t="s">
        <v>78</v>
      </c>
      <c r="Q14" s="6" t="s">
        <v>511</v>
      </c>
      <c r="R14" s="6" t="s">
        <v>401</v>
      </c>
      <c r="S14" s="6" t="s">
        <v>80</v>
      </c>
      <c r="T14" s="6" t="s">
        <v>73</v>
      </c>
      <c r="U14" s="6" t="s">
        <v>76</v>
      </c>
      <c r="V14" s="6" t="s">
        <v>76</v>
      </c>
      <c r="W14" s="6" t="s">
        <v>81</v>
      </c>
      <c r="X14" s="6" t="s">
        <v>76</v>
      </c>
      <c r="Y14" s="6" t="s">
        <v>82</v>
      </c>
      <c r="Z14" s="6" t="n">
        <v>1</v>
      </c>
      <c r="AA14" s="6" t="n">
        <v>5</v>
      </c>
      <c r="AB14" s="6" t="n">
        <v>200</v>
      </c>
      <c r="AC14" s="6" t="n">
        <v>256</v>
      </c>
      <c r="AD14" s="6" t="s">
        <v>76</v>
      </c>
      <c r="AE14" s="6" t="s">
        <v>76</v>
      </c>
      <c r="AF14" s="5" t="s">
        <v>512</v>
      </c>
      <c r="AG14" s="3"/>
      <c r="AH14" s="2" t="n">
        <f aca="false">IF(H14="ja",1,0)</f>
        <v>1</v>
      </c>
      <c r="AI14" s="2" t="n">
        <f aca="false">IF(J14="schoon",1,IF(J14="vuil",0.5,0))</f>
        <v>1</v>
      </c>
      <c r="AJ14" s="2" t="n">
        <f aca="false">K14/5</f>
        <v>0.4</v>
      </c>
      <c r="AK14" s="2" t="n">
        <f aca="false">IF(L14="ja",1,0)</f>
        <v>1</v>
      </c>
      <c r="AL14" s="2" t="n">
        <f aca="false">IF(M14="ja",1,0)</f>
        <v>0</v>
      </c>
      <c r="AM14" s="2" t="n">
        <f aca="false">IF(N14="ja",1,0)</f>
        <v>0</v>
      </c>
      <c r="AN14" s="2" t="n">
        <f aca="false">IF(O14="exact",1,0)</f>
        <v>1</v>
      </c>
      <c r="AO14" s="2" t="n">
        <f aca="false">IF(T14="ja",1,0)</f>
        <v>1</v>
      </c>
      <c r="AP14" s="2" t="n">
        <f aca="false">IF(U14="ja",1,0)</f>
        <v>0</v>
      </c>
      <c r="AQ14" s="2" t="n">
        <f aca="false">IF(V14="ja",1,0)</f>
        <v>0</v>
      </c>
      <c r="AR14" s="2" t="n">
        <f aca="false">IF(W14="Bennett",1,IF(W14="meting",0.5,0))</f>
        <v>1</v>
      </c>
      <c r="AS14" s="2" t="n">
        <f aca="false">IF(X14="ja",1,0)</f>
        <v>0</v>
      </c>
      <c r="AT14" s="2" t="n">
        <f aca="false">Z14/5</f>
        <v>0.2</v>
      </c>
      <c r="AU14" s="2" t="n">
        <f aca="false">AA14/5</f>
        <v>1</v>
      </c>
    </row>
    <row r="15" customFormat="false" ht="15" hidden="false" customHeight="false" outlineLevel="0" collapsed="false">
      <c r="A15" s="2" t="s">
        <v>513</v>
      </c>
      <c r="B15" s="5" t="s">
        <v>514</v>
      </c>
      <c r="C15" s="6" t="s">
        <v>173</v>
      </c>
      <c r="D15" s="6" t="s">
        <v>87</v>
      </c>
      <c r="E15" s="6" t="n">
        <v>2004</v>
      </c>
      <c r="F15" s="5" t="s">
        <v>400</v>
      </c>
      <c r="G15" s="6" t="s">
        <v>100</v>
      </c>
      <c r="H15" s="6" t="s">
        <v>73</v>
      </c>
      <c r="I15" s="6" t="n">
        <v>1</v>
      </c>
      <c r="J15" s="6" t="s">
        <v>75</v>
      </c>
      <c r="K15" s="6" t="n">
        <v>2</v>
      </c>
      <c r="L15" s="6" t="s">
        <v>73</v>
      </c>
      <c r="M15" s="6" t="s">
        <v>76</v>
      </c>
      <c r="N15" s="6" t="s">
        <v>76</v>
      </c>
      <c r="O15" s="6" t="s">
        <v>77</v>
      </c>
      <c r="P15" s="6" t="s">
        <v>78</v>
      </c>
      <c r="Q15" s="6" t="s">
        <v>515</v>
      </c>
      <c r="R15" s="6" t="s">
        <v>104</v>
      </c>
      <c r="S15" s="6" t="s">
        <v>80</v>
      </c>
      <c r="T15" s="6" t="s">
        <v>73</v>
      </c>
      <c r="U15" s="6" t="s">
        <v>76</v>
      </c>
      <c r="V15" s="6" t="s">
        <v>76</v>
      </c>
      <c r="W15" s="6" t="s">
        <v>81</v>
      </c>
      <c r="X15" s="6" t="s">
        <v>76</v>
      </c>
      <c r="Y15" s="6" t="s">
        <v>82</v>
      </c>
      <c r="Z15" s="6" t="n">
        <v>1</v>
      </c>
      <c r="AA15" s="6" t="n">
        <v>5</v>
      </c>
      <c r="AB15" s="6" t="n">
        <v>25</v>
      </c>
      <c r="AC15" s="6" t="n">
        <v>-60</v>
      </c>
      <c r="AD15" s="6" t="s">
        <v>76</v>
      </c>
      <c r="AE15" s="6" t="s">
        <v>73</v>
      </c>
      <c r="AF15" s="5" t="s">
        <v>516</v>
      </c>
      <c r="AG15" s="3"/>
      <c r="AH15" s="2" t="n">
        <f aca="false">IF(H15="ja",1,0)</f>
        <v>1</v>
      </c>
      <c r="AI15" s="2" t="n">
        <f aca="false">IF(J15="schoon",1,IF(J15="vuil",0.5,0))</f>
        <v>1</v>
      </c>
      <c r="AJ15" s="2" t="n">
        <f aca="false">K15/5</f>
        <v>0.4</v>
      </c>
      <c r="AK15" s="2" t="n">
        <f aca="false">IF(L15="ja",1,0)</f>
        <v>1</v>
      </c>
      <c r="AL15" s="2" t="n">
        <f aca="false">IF(M15="ja",1,0)</f>
        <v>0</v>
      </c>
      <c r="AM15" s="2" t="n">
        <f aca="false">IF(N15="ja",1,0)</f>
        <v>0</v>
      </c>
      <c r="AN15" s="2" t="n">
        <f aca="false">IF(O15="exact",1,0)</f>
        <v>1</v>
      </c>
      <c r="AO15" s="2" t="n">
        <f aca="false">IF(T15="ja",1,0)</f>
        <v>1</v>
      </c>
      <c r="AP15" s="2" t="n">
        <f aca="false">IF(U15="ja",1,0)</f>
        <v>0</v>
      </c>
      <c r="AQ15" s="2" t="n">
        <f aca="false">IF(V15="ja",1,0)</f>
        <v>0</v>
      </c>
      <c r="AR15" s="2" t="n">
        <f aca="false">IF(W15="Bennett",1,IF(W15="meting",0.5,0))</f>
        <v>1</v>
      </c>
      <c r="AS15" s="2" t="n">
        <f aca="false">IF(X15="ja",1,0)</f>
        <v>0</v>
      </c>
      <c r="AT15" s="2" t="n">
        <f aca="false">Z15/5</f>
        <v>0.2</v>
      </c>
      <c r="AU15" s="2" t="n">
        <f aca="false">AA15/5</f>
        <v>1</v>
      </c>
    </row>
    <row r="16" customFormat="false" ht="26.85" hidden="false" customHeight="false" outlineLevel="0" collapsed="false">
      <c r="A16" s="2" t="s">
        <v>517</v>
      </c>
      <c r="B16" s="5" t="s">
        <v>518</v>
      </c>
      <c r="C16" s="6" t="s">
        <v>173</v>
      </c>
      <c r="D16" s="6" t="s">
        <v>87</v>
      </c>
      <c r="E16" s="6" t="n">
        <v>2010</v>
      </c>
      <c r="F16" s="5" t="s">
        <v>519</v>
      </c>
      <c r="G16" s="6" t="s">
        <v>100</v>
      </c>
      <c r="H16" s="6" t="s">
        <v>73</v>
      </c>
      <c r="I16" s="6" t="n">
        <v>0</v>
      </c>
      <c r="J16" s="6" t="s">
        <v>90</v>
      </c>
      <c r="K16" s="6" t="n">
        <v>2</v>
      </c>
      <c r="L16" s="6" t="s">
        <v>73</v>
      </c>
      <c r="M16" s="6" t="s">
        <v>76</v>
      </c>
      <c r="N16" s="6" t="s">
        <v>76</v>
      </c>
      <c r="O16" s="6" t="s">
        <v>77</v>
      </c>
      <c r="P16" s="6" t="s">
        <v>78</v>
      </c>
      <c r="Q16" s="6" t="s">
        <v>520</v>
      </c>
      <c r="R16" s="6" t="s">
        <v>521</v>
      </c>
      <c r="S16" s="6" t="s">
        <v>80</v>
      </c>
      <c r="T16" s="6" t="s">
        <v>73</v>
      </c>
      <c r="U16" s="6" t="s">
        <v>76</v>
      </c>
      <c r="V16" s="6" t="s">
        <v>76</v>
      </c>
      <c r="W16" s="6" t="s">
        <v>81</v>
      </c>
      <c r="X16" s="6" t="s">
        <v>76</v>
      </c>
      <c r="Y16" s="6" t="s">
        <v>82</v>
      </c>
      <c r="Z16" s="6" t="n">
        <v>2</v>
      </c>
      <c r="AA16" s="6" t="n">
        <v>4</v>
      </c>
      <c r="AB16" s="6" t="n">
        <v>25</v>
      </c>
      <c r="AC16" s="6" t="n">
        <v>-60</v>
      </c>
      <c r="AD16" s="6" t="s">
        <v>76</v>
      </c>
      <c r="AE16" s="6" t="s">
        <v>76</v>
      </c>
      <c r="AF16" s="5" t="s">
        <v>522</v>
      </c>
      <c r="AG16" s="3"/>
      <c r="AH16" s="2" t="n">
        <f aca="false">IF(H16="ja",1,0)</f>
        <v>1</v>
      </c>
      <c r="AI16" s="2" t="n">
        <f aca="false">IF(J16="schoon",1,IF(J16="vuil",0.5,0))</f>
        <v>0</v>
      </c>
      <c r="AJ16" s="2" t="n">
        <f aca="false">K16/5</f>
        <v>0.4</v>
      </c>
      <c r="AK16" s="2" t="n">
        <f aca="false">IF(L16="ja",1,0)</f>
        <v>1</v>
      </c>
      <c r="AL16" s="2" t="n">
        <f aca="false">IF(M16="ja",1,0)</f>
        <v>0</v>
      </c>
      <c r="AM16" s="2" t="n">
        <f aca="false">IF(N16="ja",1,0)</f>
        <v>0</v>
      </c>
      <c r="AN16" s="2" t="n">
        <f aca="false">IF(O16="exact",1,0)</f>
        <v>1</v>
      </c>
      <c r="AO16" s="2" t="n">
        <f aca="false">IF(T16="ja",1,0)</f>
        <v>1</v>
      </c>
      <c r="AP16" s="2" t="n">
        <f aca="false">IF(U16="ja",1,0)</f>
        <v>0</v>
      </c>
      <c r="AQ16" s="2" t="n">
        <f aca="false">IF(V16="ja",1,0)</f>
        <v>0</v>
      </c>
      <c r="AR16" s="2" t="n">
        <f aca="false">IF(W16="Bennett",1,IF(W16="meting",0.5,0))</f>
        <v>1</v>
      </c>
      <c r="AS16" s="2" t="n">
        <f aca="false">IF(X16="ja",1,0)</f>
        <v>0</v>
      </c>
      <c r="AT16" s="2" t="n">
        <f aca="false">Z16/5</f>
        <v>0.4</v>
      </c>
      <c r="AU16" s="2" t="n">
        <f aca="false">AA16/5</f>
        <v>0.8</v>
      </c>
    </row>
    <row r="17" customFormat="false" ht="26.85" hidden="false" customHeight="false" outlineLevel="0" collapsed="false">
      <c r="A17" s="2" t="s">
        <v>523</v>
      </c>
      <c r="B17" s="5" t="s">
        <v>524</v>
      </c>
      <c r="C17" s="6" t="s">
        <v>173</v>
      </c>
      <c r="D17" s="6" t="s">
        <v>152</v>
      </c>
      <c r="E17" s="6" t="n">
        <v>2018</v>
      </c>
      <c r="F17" s="5" t="s">
        <v>390</v>
      </c>
      <c r="G17" s="6" t="s">
        <v>89</v>
      </c>
      <c r="H17" s="6" t="s">
        <v>73</v>
      </c>
      <c r="I17" s="6" t="n">
        <v>256</v>
      </c>
      <c r="J17" s="6" t="s">
        <v>75</v>
      </c>
      <c r="K17" s="6" t="n">
        <v>2</v>
      </c>
      <c r="L17" s="6" t="s">
        <v>73</v>
      </c>
      <c r="M17" s="6" t="s">
        <v>73</v>
      </c>
      <c r="N17" s="6" t="s">
        <v>73</v>
      </c>
      <c r="O17" s="6" t="s">
        <v>77</v>
      </c>
      <c r="P17" s="6" t="s">
        <v>78</v>
      </c>
      <c r="Q17" s="6" t="s">
        <v>525</v>
      </c>
      <c r="R17" s="6" t="s">
        <v>80</v>
      </c>
      <c r="S17" s="6" t="s">
        <v>80</v>
      </c>
      <c r="T17" s="6" t="s">
        <v>73</v>
      </c>
      <c r="U17" s="6" t="s">
        <v>76</v>
      </c>
      <c r="V17" s="6" t="s">
        <v>76</v>
      </c>
      <c r="W17" s="6" t="s">
        <v>105</v>
      </c>
      <c r="X17" s="6" t="s">
        <v>76</v>
      </c>
      <c r="Y17" s="6" t="s">
        <v>106</v>
      </c>
      <c r="Z17" s="6" t="n">
        <v>2</v>
      </c>
      <c r="AA17" s="6" t="n">
        <v>5</v>
      </c>
      <c r="AB17" s="6" t="n">
        <v>0</v>
      </c>
      <c r="AC17" s="6" t="n">
        <v>0</v>
      </c>
      <c r="AD17" s="6" t="s">
        <v>73</v>
      </c>
      <c r="AE17" s="6" t="s">
        <v>73</v>
      </c>
      <c r="AF17" s="5" t="s">
        <v>526</v>
      </c>
      <c r="AG17" s="3"/>
      <c r="AH17" s="2" t="n">
        <f aca="false">IF(H17="ja",1,0)</f>
        <v>1</v>
      </c>
      <c r="AI17" s="2" t="n">
        <f aca="false">IF(J17="schoon",1,IF(J17="vuil",0.5,0))</f>
        <v>1</v>
      </c>
      <c r="AJ17" s="2" t="n">
        <f aca="false">K17/5</f>
        <v>0.4</v>
      </c>
      <c r="AK17" s="2" t="n">
        <f aca="false">IF(L17="ja",1,0)</f>
        <v>1</v>
      </c>
      <c r="AL17" s="2" t="n">
        <f aca="false">IF(M17="ja",1,0)</f>
        <v>1</v>
      </c>
      <c r="AM17" s="2" t="n">
        <f aca="false">IF(N17="ja",1,0)</f>
        <v>1</v>
      </c>
      <c r="AN17" s="2" t="n">
        <f aca="false">IF(O17="exact",1,0)</f>
        <v>1</v>
      </c>
      <c r="AO17" s="2" t="n">
        <f aca="false">IF(T17="ja",1,0)</f>
        <v>1</v>
      </c>
      <c r="AP17" s="2" t="n">
        <f aca="false">IF(U17="ja",1,0)</f>
        <v>0</v>
      </c>
      <c r="AQ17" s="2" t="n">
        <f aca="false">IF(V17="ja",1,0)</f>
        <v>0</v>
      </c>
      <c r="AR17" s="2" t="n">
        <f aca="false">IF(W17="Bennett",1,IF(W17="meting",0.5,0))</f>
        <v>0.5</v>
      </c>
      <c r="AS17" s="2" t="n">
        <f aca="false">IF(X17="ja",1,0)</f>
        <v>0</v>
      </c>
      <c r="AT17" s="2" t="n">
        <f aca="false">Z17/5</f>
        <v>0.4</v>
      </c>
      <c r="AU17" s="2" t="n">
        <f aca="false">AA17/5</f>
        <v>1</v>
      </c>
    </row>
    <row r="18" customFormat="false" ht="26.85" hidden="false" customHeight="false" outlineLevel="0" collapsed="false">
      <c r="A18" s="2" t="s">
        <v>527</v>
      </c>
      <c r="B18" s="5" t="s">
        <v>528</v>
      </c>
      <c r="C18" s="6" t="s">
        <v>173</v>
      </c>
      <c r="D18" s="6" t="s">
        <v>87</v>
      </c>
      <c r="E18" s="6" t="n">
        <v>1960</v>
      </c>
      <c r="F18" s="5" t="s">
        <v>529</v>
      </c>
      <c r="G18" s="6" t="s">
        <v>100</v>
      </c>
      <c r="H18" s="6" t="s">
        <v>73</v>
      </c>
      <c r="I18" s="6" t="n">
        <v>17</v>
      </c>
      <c r="J18" s="6" t="s">
        <v>75</v>
      </c>
      <c r="K18" s="6" t="n">
        <v>2</v>
      </c>
      <c r="L18" s="6" t="s">
        <v>73</v>
      </c>
      <c r="M18" s="6" t="s">
        <v>73</v>
      </c>
      <c r="N18" s="6" t="s">
        <v>73</v>
      </c>
      <c r="O18" s="6" t="s">
        <v>77</v>
      </c>
      <c r="P18" s="6" t="s">
        <v>78</v>
      </c>
      <c r="Q18" s="6" t="s">
        <v>530</v>
      </c>
      <c r="R18" s="6" t="s">
        <v>325</v>
      </c>
      <c r="S18" s="6" t="s">
        <v>80</v>
      </c>
      <c r="T18" s="6" t="s">
        <v>73</v>
      </c>
      <c r="U18" s="6" t="s">
        <v>76</v>
      </c>
      <c r="V18" s="6" t="s">
        <v>76</v>
      </c>
      <c r="W18" s="6" t="s">
        <v>105</v>
      </c>
      <c r="X18" s="6" t="s">
        <v>76</v>
      </c>
      <c r="Y18" s="6" t="s">
        <v>106</v>
      </c>
      <c r="Z18" s="6" t="n">
        <v>3</v>
      </c>
      <c r="AA18" s="6" t="n">
        <v>4</v>
      </c>
      <c r="AB18" s="6" t="n">
        <v>1</v>
      </c>
      <c r="AC18" s="6" t="n">
        <v>-230</v>
      </c>
      <c r="AD18" s="6" t="s">
        <v>73</v>
      </c>
      <c r="AE18" s="6" t="s">
        <v>73</v>
      </c>
      <c r="AF18" s="5" t="s">
        <v>531</v>
      </c>
      <c r="AG18" s="3"/>
      <c r="AH18" s="2" t="n">
        <f aca="false">IF(H18="ja",1,0)</f>
        <v>1</v>
      </c>
      <c r="AI18" s="2" t="n">
        <f aca="false">IF(J18="schoon",1,IF(J18="vuil",0.5,0))</f>
        <v>1</v>
      </c>
      <c r="AJ18" s="2" t="n">
        <f aca="false">K18/5</f>
        <v>0.4</v>
      </c>
      <c r="AK18" s="2" t="n">
        <f aca="false">IF(L18="ja",1,0)</f>
        <v>1</v>
      </c>
      <c r="AL18" s="2" t="n">
        <f aca="false">IF(M18="ja",1,0)</f>
        <v>1</v>
      </c>
      <c r="AM18" s="2" t="n">
        <f aca="false">IF(N18="ja",1,0)</f>
        <v>1</v>
      </c>
      <c r="AN18" s="2" t="n">
        <f aca="false">IF(O18="exact",1,0)</f>
        <v>1</v>
      </c>
      <c r="AO18" s="2" t="n">
        <f aca="false">IF(T18="ja",1,0)</f>
        <v>1</v>
      </c>
      <c r="AP18" s="2" t="n">
        <f aca="false">IF(U18="ja",1,0)</f>
        <v>0</v>
      </c>
      <c r="AQ18" s="2" t="n">
        <f aca="false">IF(V18="ja",1,0)</f>
        <v>0</v>
      </c>
      <c r="AR18" s="2" t="n">
        <f aca="false">IF(W18="Bennett",1,IF(W18="meting",0.5,0))</f>
        <v>0.5</v>
      </c>
      <c r="AS18" s="2" t="n">
        <f aca="false">IF(X18="ja",1,0)</f>
        <v>0</v>
      </c>
      <c r="AT18" s="2" t="n">
        <f aca="false">Z18/5</f>
        <v>0.6</v>
      </c>
      <c r="AU18" s="2" t="n">
        <f aca="false">AA18/5</f>
        <v>0.8</v>
      </c>
    </row>
    <row r="19" customFormat="false" ht="15" hidden="false" customHeight="false" outlineLevel="0" collapsed="false">
      <c r="A19" s="2" t="s">
        <v>532</v>
      </c>
      <c r="B19" s="5" t="s">
        <v>533</v>
      </c>
      <c r="C19" s="6" t="s">
        <v>173</v>
      </c>
      <c r="D19" s="6" t="s">
        <v>87</v>
      </c>
      <c r="E19" s="6" t="n">
        <v>2004</v>
      </c>
      <c r="F19" s="5" t="s">
        <v>534</v>
      </c>
      <c r="G19" s="6" t="s">
        <v>341</v>
      </c>
      <c r="H19" s="6" t="s">
        <v>73</v>
      </c>
      <c r="I19" s="6" t="n">
        <v>256</v>
      </c>
      <c r="J19" s="6" t="s">
        <v>75</v>
      </c>
      <c r="K19" s="6" t="n">
        <v>1</v>
      </c>
      <c r="L19" s="6" t="s">
        <v>73</v>
      </c>
      <c r="M19" s="6" t="s">
        <v>76</v>
      </c>
      <c r="N19" s="6" t="s">
        <v>76</v>
      </c>
      <c r="O19" s="6" t="s">
        <v>77</v>
      </c>
      <c r="P19" s="6" t="s">
        <v>78</v>
      </c>
      <c r="Q19" s="6" t="s">
        <v>535</v>
      </c>
      <c r="R19" s="6" t="s">
        <v>80</v>
      </c>
      <c r="S19" s="6" t="s">
        <v>396</v>
      </c>
      <c r="T19" s="6" t="s">
        <v>73</v>
      </c>
      <c r="U19" s="6" t="s">
        <v>76</v>
      </c>
      <c r="V19" s="6" t="s">
        <v>76</v>
      </c>
      <c r="W19" s="6" t="s">
        <v>81</v>
      </c>
      <c r="X19" s="6" t="s">
        <v>76</v>
      </c>
      <c r="Y19" s="6" t="s">
        <v>82</v>
      </c>
      <c r="Z19" s="6" t="n">
        <v>3</v>
      </c>
      <c r="AA19" s="6" t="n">
        <v>5</v>
      </c>
      <c r="AB19" s="6" t="n">
        <v>8</v>
      </c>
      <c r="AC19" s="6" t="n">
        <v>256</v>
      </c>
      <c r="AD19" s="6" t="s">
        <v>76</v>
      </c>
      <c r="AE19" s="6" t="s">
        <v>76</v>
      </c>
      <c r="AF19" s="5" t="s">
        <v>536</v>
      </c>
      <c r="AG19" s="3"/>
      <c r="AH19" s="2" t="n">
        <f aca="false">IF(H19="ja",1,0)</f>
        <v>1</v>
      </c>
      <c r="AI19" s="2" t="n">
        <f aca="false">IF(J19="schoon",1,IF(J19="vuil",0.5,0))</f>
        <v>1</v>
      </c>
      <c r="AJ19" s="2" t="n">
        <f aca="false">K19/5</f>
        <v>0.2</v>
      </c>
      <c r="AK19" s="2" t="n">
        <f aca="false">IF(L19="ja",1,0)</f>
        <v>1</v>
      </c>
      <c r="AL19" s="2" t="n">
        <f aca="false">IF(M19="ja",1,0)</f>
        <v>0</v>
      </c>
      <c r="AM19" s="2" t="n">
        <f aca="false">IF(N19="ja",1,0)</f>
        <v>0</v>
      </c>
      <c r="AN19" s="2" t="n">
        <f aca="false">IF(O19="exact",1,0)</f>
        <v>1</v>
      </c>
      <c r="AO19" s="2" t="n">
        <f aca="false">IF(T19="ja",1,0)</f>
        <v>1</v>
      </c>
      <c r="AP19" s="2" t="n">
        <f aca="false">IF(U19="ja",1,0)</f>
        <v>0</v>
      </c>
      <c r="AQ19" s="2" t="n">
        <f aca="false">IF(V19="ja",1,0)</f>
        <v>0</v>
      </c>
      <c r="AR19" s="2" t="n">
        <f aca="false">IF(W19="Bennett",1,IF(W19="meting",0.5,0))</f>
        <v>1</v>
      </c>
      <c r="AS19" s="2" t="n">
        <f aca="false">IF(X19="ja",1,0)</f>
        <v>0</v>
      </c>
      <c r="AT19" s="2" t="n">
        <f aca="false">Z19/5</f>
        <v>0.6</v>
      </c>
      <c r="AU19" s="2" t="n">
        <f aca="false">AA19/5</f>
        <v>1</v>
      </c>
    </row>
    <row r="20" customFormat="false" ht="26.85" hidden="false" customHeight="false" outlineLevel="0" collapsed="false">
      <c r="A20" s="2" t="s">
        <v>537</v>
      </c>
      <c r="B20" s="5" t="s">
        <v>538</v>
      </c>
      <c r="C20" s="6" t="s">
        <v>173</v>
      </c>
      <c r="D20" s="6" t="s">
        <v>87</v>
      </c>
      <c r="E20" s="6" t="n">
        <v>2004</v>
      </c>
      <c r="F20" s="5" t="s">
        <v>539</v>
      </c>
      <c r="G20" s="6" t="s">
        <v>89</v>
      </c>
      <c r="H20" s="6" t="s">
        <v>73</v>
      </c>
      <c r="I20" s="6" t="n">
        <v>0</v>
      </c>
      <c r="J20" s="6" t="s">
        <v>90</v>
      </c>
      <c r="K20" s="6" t="n">
        <v>1</v>
      </c>
      <c r="L20" s="6" t="s">
        <v>73</v>
      </c>
      <c r="M20" s="6" t="s">
        <v>76</v>
      </c>
      <c r="N20" s="6" t="s">
        <v>76</v>
      </c>
      <c r="O20" s="6" t="s">
        <v>77</v>
      </c>
      <c r="P20" s="6" t="s">
        <v>78</v>
      </c>
      <c r="Q20" s="6" t="s">
        <v>540</v>
      </c>
      <c r="R20" s="6" t="s">
        <v>521</v>
      </c>
      <c r="S20" s="6" t="s">
        <v>80</v>
      </c>
      <c r="T20" s="6" t="s">
        <v>73</v>
      </c>
      <c r="U20" s="6" t="s">
        <v>76</v>
      </c>
      <c r="V20" s="6" t="s">
        <v>76</v>
      </c>
      <c r="W20" s="6" t="s">
        <v>81</v>
      </c>
      <c r="X20" s="6" t="s">
        <v>76</v>
      </c>
      <c r="Y20" s="6" t="s">
        <v>82</v>
      </c>
      <c r="Z20" s="6" t="n">
        <v>1</v>
      </c>
      <c r="AA20" s="6" t="n">
        <v>5</v>
      </c>
      <c r="AB20" s="6" t="n">
        <v>0</v>
      </c>
      <c r="AC20" s="6" t="n">
        <v>0</v>
      </c>
      <c r="AD20" s="6" t="s">
        <v>73</v>
      </c>
      <c r="AE20" s="6" t="s">
        <v>73</v>
      </c>
      <c r="AF20" s="5" t="s">
        <v>541</v>
      </c>
      <c r="AG20" s="3"/>
      <c r="AH20" s="2" t="n">
        <f aca="false">IF(H20="ja",1,0)</f>
        <v>1</v>
      </c>
      <c r="AI20" s="2" t="n">
        <f aca="false">IF(J20="schoon",1,IF(J20="vuil",0.5,0))</f>
        <v>0</v>
      </c>
      <c r="AJ20" s="2" t="n">
        <f aca="false">K20/5</f>
        <v>0.2</v>
      </c>
      <c r="AK20" s="2" t="n">
        <f aca="false">IF(L20="ja",1,0)</f>
        <v>1</v>
      </c>
      <c r="AL20" s="2" t="n">
        <f aca="false">IF(M20="ja",1,0)</f>
        <v>0</v>
      </c>
      <c r="AM20" s="2" t="n">
        <f aca="false">IF(N20="ja",1,0)</f>
        <v>0</v>
      </c>
      <c r="AN20" s="2" t="n">
        <f aca="false">IF(O20="exact",1,0)</f>
        <v>1</v>
      </c>
      <c r="AO20" s="2" t="n">
        <f aca="false">IF(T20="ja",1,0)</f>
        <v>1</v>
      </c>
      <c r="AP20" s="2" t="n">
        <f aca="false">IF(U20="ja",1,0)</f>
        <v>0</v>
      </c>
      <c r="AQ20" s="2" t="n">
        <f aca="false">IF(V20="ja",1,0)</f>
        <v>0</v>
      </c>
      <c r="AR20" s="2" t="n">
        <f aca="false">IF(W20="Bennett",1,IF(W20="meting",0.5,0))</f>
        <v>1</v>
      </c>
      <c r="AS20" s="2" t="n">
        <f aca="false">IF(X20="ja",1,0)</f>
        <v>0</v>
      </c>
      <c r="AT20" s="2" t="n">
        <f aca="false">Z20/5</f>
        <v>0.2</v>
      </c>
      <c r="AU20" s="2" t="n">
        <f aca="false">AA20/5</f>
        <v>1</v>
      </c>
    </row>
    <row r="21" customFormat="false" ht="15" hidden="false" customHeight="false" outlineLevel="0" collapsed="false">
      <c r="A21" s="2" t="s">
        <v>542</v>
      </c>
      <c r="B21" s="5" t="s">
        <v>543</v>
      </c>
      <c r="C21" s="6" t="s">
        <v>173</v>
      </c>
      <c r="D21" s="6" t="s">
        <v>87</v>
      </c>
      <c r="E21" s="6" t="n">
        <v>2003</v>
      </c>
      <c r="F21" s="5" t="s">
        <v>544</v>
      </c>
      <c r="G21" s="6" t="s">
        <v>89</v>
      </c>
      <c r="H21" s="6" t="s">
        <v>73</v>
      </c>
      <c r="I21" s="6" t="n">
        <v>1</v>
      </c>
      <c r="J21" s="6" t="s">
        <v>75</v>
      </c>
      <c r="K21" s="6" t="n">
        <v>1</v>
      </c>
      <c r="L21" s="6" t="s">
        <v>76</v>
      </c>
      <c r="M21" s="6" t="s">
        <v>76</v>
      </c>
      <c r="N21" s="6" t="s">
        <v>76</v>
      </c>
      <c r="O21" s="6" t="s">
        <v>77</v>
      </c>
      <c r="P21" s="6" t="s">
        <v>78</v>
      </c>
      <c r="Q21" s="6" t="s">
        <v>545</v>
      </c>
      <c r="R21" s="6" t="s">
        <v>104</v>
      </c>
      <c r="S21" s="6" t="s">
        <v>80</v>
      </c>
      <c r="T21" s="6" t="s">
        <v>73</v>
      </c>
      <c r="U21" s="6" t="s">
        <v>76</v>
      </c>
      <c r="V21" s="6" t="s">
        <v>76</v>
      </c>
      <c r="W21" s="6" t="s">
        <v>81</v>
      </c>
      <c r="X21" s="6" t="s">
        <v>76</v>
      </c>
      <c r="Y21" s="6" t="s">
        <v>82</v>
      </c>
      <c r="Z21" s="6" t="n">
        <v>2</v>
      </c>
      <c r="AA21" s="6" t="n">
        <v>5</v>
      </c>
      <c r="AB21" s="6" t="n">
        <v>0</v>
      </c>
      <c r="AC21" s="6" t="n">
        <v>0</v>
      </c>
      <c r="AD21" s="6" t="s">
        <v>73</v>
      </c>
      <c r="AE21" s="6" t="s">
        <v>73</v>
      </c>
      <c r="AF21" s="5" t="s">
        <v>546</v>
      </c>
      <c r="AG21" s="3"/>
      <c r="AH21" s="2" t="n">
        <f aca="false">IF(H21="ja",1,0)</f>
        <v>1</v>
      </c>
      <c r="AI21" s="2" t="n">
        <f aca="false">IF(J21="schoon",1,IF(J21="vuil",0.5,0))</f>
        <v>1</v>
      </c>
      <c r="AJ21" s="2" t="n">
        <f aca="false">K21/5</f>
        <v>0.2</v>
      </c>
      <c r="AK21" s="2" t="n">
        <f aca="false">IF(L21="ja",1,0)</f>
        <v>0</v>
      </c>
      <c r="AL21" s="2" t="n">
        <f aca="false">IF(M21="ja",1,0)</f>
        <v>0</v>
      </c>
      <c r="AM21" s="2" t="n">
        <f aca="false">IF(N21="ja",1,0)</f>
        <v>0</v>
      </c>
      <c r="AN21" s="2" t="n">
        <f aca="false">IF(O21="exact",1,0)</f>
        <v>1</v>
      </c>
      <c r="AO21" s="2" t="n">
        <f aca="false">IF(T21="ja",1,0)</f>
        <v>1</v>
      </c>
      <c r="AP21" s="2" t="n">
        <f aca="false">IF(U21="ja",1,0)</f>
        <v>0</v>
      </c>
      <c r="AQ21" s="2" t="n">
        <f aca="false">IF(V21="ja",1,0)</f>
        <v>0</v>
      </c>
      <c r="AR21" s="2" t="n">
        <f aca="false">IF(W21="Bennett",1,IF(W21="meting",0.5,0))</f>
        <v>1</v>
      </c>
      <c r="AS21" s="2" t="n">
        <f aca="false">IF(X21="ja",1,0)</f>
        <v>0</v>
      </c>
      <c r="AT21" s="2" t="n">
        <f aca="false">Z21/5</f>
        <v>0.4</v>
      </c>
      <c r="AU21" s="2" t="n">
        <f aca="false">AA21/5</f>
        <v>1</v>
      </c>
    </row>
    <row r="22" customFormat="false" ht="15" hidden="false" customHeight="false" outlineLevel="0" collapsed="false">
      <c r="A22" s="2" t="s">
        <v>547</v>
      </c>
      <c r="B22" s="5" t="s">
        <v>548</v>
      </c>
      <c r="C22" s="6" t="s">
        <v>549</v>
      </c>
      <c r="D22" s="6" t="s">
        <v>87</v>
      </c>
      <c r="E22" s="6" t="n">
        <v>2004</v>
      </c>
      <c r="F22" s="5" t="s">
        <v>400</v>
      </c>
      <c r="G22" s="6" t="s">
        <v>467</v>
      </c>
      <c r="H22" s="6" t="s">
        <v>73</v>
      </c>
      <c r="I22" s="6" t="n">
        <v>1</v>
      </c>
      <c r="J22" s="6" t="s">
        <v>75</v>
      </c>
      <c r="K22" s="6" t="n">
        <v>1</v>
      </c>
      <c r="L22" s="6" t="s">
        <v>73</v>
      </c>
      <c r="M22" s="6" t="s">
        <v>76</v>
      </c>
      <c r="N22" s="6" t="s">
        <v>76</v>
      </c>
      <c r="O22" s="6" t="s">
        <v>77</v>
      </c>
      <c r="P22" s="6" t="s">
        <v>78</v>
      </c>
      <c r="Q22" s="6" t="s">
        <v>545</v>
      </c>
      <c r="R22" s="6" t="s">
        <v>104</v>
      </c>
      <c r="S22" s="6" t="s">
        <v>80</v>
      </c>
      <c r="T22" s="6" t="s">
        <v>73</v>
      </c>
      <c r="U22" s="6" t="s">
        <v>76</v>
      </c>
      <c r="V22" s="6" t="s">
        <v>76</v>
      </c>
      <c r="W22" s="6" t="s">
        <v>81</v>
      </c>
      <c r="X22" s="6" t="s">
        <v>76</v>
      </c>
      <c r="Y22" s="6" t="s">
        <v>82</v>
      </c>
      <c r="Z22" s="6" t="n">
        <v>1</v>
      </c>
      <c r="AA22" s="6" t="n">
        <v>5</v>
      </c>
      <c r="AB22" s="6" t="n">
        <v>0</v>
      </c>
      <c r="AC22" s="6" t="n">
        <v>0</v>
      </c>
      <c r="AD22" s="6" t="s">
        <v>73</v>
      </c>
      <c r="AE22" s="6" t="s">
        <v>73</v>
      </c>
      <c r="AF22" s="5" t="s">
        <v>550</v>
      </c>
      <c r="AG22" s="3"/>
      <c r="AH22" s="2" t="n">
        <f aca="false">IF(H22="ja",1,0)</f>
        <v>1</v>
      </c>
      <c r="AI22" s="2" t="n">
        <f aca="false">IF(J22="schoon",1,IF(J22="vuil",0.5,0))</f>
        <v>1</v>
      </c>
      <c r="AJ22" s="2" t="n">
        <f aca="false">K22/5</f>
        <v>0.2</v>
      </c>
      <c r="AK22" s="2" t="n">
        <f aca="false">IF(L22="ja",1,0)</f>
        <v>1</v>
      </c>
      <c r="AL22" s="2" t="n">
        <f aca="false">IF(M22="ja",1,0)</f>
        <v>0</v>
      </c>
      <c r="AM22" s="2" t="n">
        <f aca="false">IF(N22="ja",1,0)</f>
        <v>0</v>
      </c>
      <c r="AN22" s="2" t="n">
        <f aca="false">IF(O22="exact",1,0)</f>
        <v>1</v>
      </c>
      <c r="AO22" s="2" t="n">
        <f aca="false">IF(T22="ja",1,0)</f>
        <v>1</v>
      </c>
      <c r="AP22" s="2" t="n">
        <f aca="false">IF(U22="ja",1,0)</f>
        <v>0</v>
      </c>
      <c r="AQ22" s="2" t="n">
        <f aca="false">IF(V22="ja",1,0)</f>
        <v>0</v>
      </c>
      <c r="AR22" s="2" t="n">
        <f aca="false">IF(W22="Bennett",1,IF(W22="meting",0.5,0))</f>
        <v>1</v>
      </c>
      <c r="AS22" s="2" t="n">
        <f aca="false">IF(X22="ja",1,0)</f>
        <v>0</v>
      </c>
      <c r="AT22" s="2" t="n">
        <f aca="false">Z22/5</f>
        <v>0.2</v>
      </c>
      <c r="AU22" s="2" t="n">
        <f aca="false">AA22/5</f>
        <v>1</v>
      </c>
    </row>
    <row r="23" customFormat="false" ht="26.85" hidden="false" customHeight="false" outlineLevel="0" collapsed="false">
      <c r="A23" s="2" t="s">
        <v>551</v>
      </c>
      <c r="B23" s="5" t="s">
        <v>552</v>
      </c>
      <c r="C23" s="6" t="s">
        <v>549</v>
      </c>
      <c r="D23" s="6" t="s">
        <v>87</v>
      </c>
      <c r="E23" s="6" t="n">
        <v>2019</v>
      </c>
      <c r="F23" s="5" t="s">
        <v>553</v>
      </c>
      <c r="G23" s="6" t="s">
        <v>89</v>
      </c>
      <c r="H23" s="6" t="s">
        <v>76</v>
      </c>
      <c r="I23" s="6" t="n">
        <v>40</v>
      </c>
      <c r="J23" s="6" t="s">
        <v>75</v>
      </c>
      <c r="K23" s="6" t="n">
        <v>1</v>
      </c>
      <c r="L23" s="6" t="s">
        <v>73</v>
      </c>
      <c r="M23" s="6" t="s">
        <v>76</v>
      </c>
      <c r="N23" s="6" t="s">
        <v>76</v>
      </c>
      <c r="O23" s="6" t="s">
        <v>102</v>
      </c>
      <c r="P23" s="6" t="s">
        <v>554</v>
      </c>
      <c r="Q23" s="6" t="s">
        <v>555</v>
      </c>
      <c r="R23" s="6" t="s">
        <v>556</v>
      </c>
      <c r="S23" s="6" t="s">
        <v>556</v>
      </c>
      <c r="T23" s="6" t="s">
        <v>73</v>
      </c>
      <c r="U23" s="6" t="s">
        <v>76</v>
      </c>
      <c r="V23" s="6" t="s">
        <v>76</v>
      </c>
      <c r="W23" s="6" t="s">
        <v>81</v>
      </c>
      <c r="X23" s="6" t="s">
        <v>76</v>
      </c>
      <c r="Y23" s="6" t="s">
        <v>82</v>
      </c>
      <c r="Z23" s="6" t="n">
        <v>2</v>
      </c>
      <c r="AA23" s="6" t="n">
        <v>4</v>
      </c>
      <c r="AB23" s="6" t="n">
        <v>0</v>
      </c>
      <c r="AC23" s="6" t="n">
        <v>0</v>
      </c>
      <c r="AD23" s="6" t="s">
        <v>73</v>
      </c>
      <c r="AE23" s="6" t="s">
        <v>73</v>
      </c>
      <c r="AF23" s="5" t="s">
        <v>557</v>
      </c>
      <c r="AG23" s="3"/>
      <c r="AH23" s="2" t="n">
        <f aca="false">IF(H23="ja",1,0)</f>
        <v>0</v>
      </c>
      <c r="AI23" s="2" t="n">
        <f aca="false">IF(J23="schoon",1,IF(J23="vuil",0.5,0))</f>
        <v>1</v>
      </c>
      <c r="AJ23" s="2" t="n">
        <f aca="false">K23/5</f>
        <v>0.2</v>
      </c>
      <c r="AK23" s="2" t="n">
        <f aca="false">IF(L23="ja",1,0)</f>
        <v>1</v>
      </c>
      <c r="AL23" s="2" t="n">
        <f aca="false">IF(M23="ja",1,0)</f>
        <v>0</v>
      </c>
      <c r="AM23" s="2" t="n">
        <f aca="false">IF(N23="ja",1,0)</f>
        <v>0</v>
      </c>
      <c r="AN23" s="2" t="n">
        <f aca="false">IF(O23="exact",1,0)</f>
        <v>0</v>
      </c>
      <c r="AO23" s="2" t="n">
        <f aca="false">IF(T23="ja",1,0)</f>
        <v>1</v>
      </c>
      <c r="AP23" s="2" t="n">
        <f aca="false">IF(U23="ja",1,0)</f>
        <v>0</v>
      </c>
      <c r="AQ23" s="2" t="n">
        <f aca="false">IF(V23="ja",1,0)</f>
        <v>0</v>
      </c>
      <c r="AR23" s="2" t="n">
        <f aca="false">IF(W23="Bennett",1,IF(W23="meting",0.5,0))</f>
        <v>1</v>
      </c>
      <c r="AS23" s="2" t="n">
        <f aca="false">IF(X23="ja",1,0)</f>
        <v>0</v>
      </c>
      <c r="AT23" s="2" t="n">
        <f aca="false">Z23/5</f>
        <v>0.4</v>
      </c>
      <c r="AU23" s="2" t="n">
        <f aca="false">AA23/5</f>
        <v>0.8</v>
      </c>
    </row>
    <row r="24" customFormat="false" ht="26.85" hidden="false" customHeight="false" outlineLevel="0" collapsed="false">
      <c r="A24" s="2" t="s">
        <v>558</v>
      </c>
      <c r="B24" s="5" t="s">
        <v>559</v>
      </c>
      <c r="C24" s="6" t="s">
        <v>549</v>
      </c>
      <c r="D24" s="6" t="s">
        <v>87</v>
      </c>
      <c r="E24" s="6" t="n">
        <v>2024</v>
      </c>
      <c r="F24" s="5" t="s">
        <v>560</v>
      </c>
      <c r="G24" s="6" t="s">
        <v>100</v>
      </c>
      <c r="H24" s="6" t="s">
        <v>76</v>
      </c>
      <c r="I24" s="6" t="n">
        <v>4</v>
      </c>
      <c r="J24" s="6" t="s">
        <v>101</v>
      </c>
      <c r="K24" s="6" t="n">
        <v>2</v>
      </c>
      <c r="L24" s="6" t="s">
        <v>73</v>
      </c>
      <c r="M24" s="6" t="s">
        <v>76</v>
      </c>
      <c r="N24" s="6" t="s">
        <v>76</v>
      </c>
      <c r="O24" s="6" t="s">
        <v>77</v>
      </c>
      <c r="P24" s="6" t="s">
        <v>78</v>
      </c>
      <c r="Q24" s="6" t="s">
        <v>561</v>
      </c>
      <c r="R24" s="6" t="s">
        <v>411</v>
      </c>
      <c r="S24" s="6" t="s">
        <v>396</v>
      </c>
      <c r="T24" s="6" t="s">
        <v>73</v>
      </c>
      <c r="U24" s="6" t="s">
        <v>76</v>
      </c>
      <c r="V24" s="6" t="s">
        <v>76</v>
      </c>
      <c r="W24" s="6" t="s">
        <v>81</v>
      </c>
      <c r="X24" s="6" t="s">
        <v>76</v>
      </c>
      <c r="Y24" s="6" t="s">
        <v>82</v>
      </c>
      <c r="Z24" s="6" t="n">
        <v>3</v>
      </c>
      <c r="AA24" s="6" t="n">
        <v>4</v>
      </c>
      <c r="AB24" s="6" t="n">
        <v>0</v>
      </c>
      <c r="AC24" s="6" t="n">
        <v>-36</v>
      </c>
      <c r="AD24" s="6" t="s">
        <v>76</v>
      </c>
      <c r="AE24" s="6" t="s">
        <v>76</v>
      </c>
      <c r="AF24" s="5" t="s">
        <v>562</v>
      </c>
      <c r="AG24" s="3"/>
      <c r="AH24" s="2" t="n">
        <f aca="false">IF(H24="ja",1,0)</f>
        <v>0</v>
      </c>
      <c r="AI24" s="2" t="n">
        <f aca="false">IF(J24="schoon",1,IF(J24="vuil",0.5,0))</f>
        <v>0.5</v>
      </c>
      <c r="AJ24" s="2" t="n">
        <f aca="false">K24/5</f>
        <v>0.4</v>
      </c>
      <c r="AK24" s="2" t="n">
        <f aca="false">IF(L24="ja",1,0)</f>
        <v>1</v>
      </c>
      <c r="AL24" s="2" t="n">
        <f aca="false">IF(M24="ja",1,0)</f>
        <v>0</v>
      </c>
      <c r="AM24" s="2" t="n">
        <f aca="false">IF(N24="ja",1,0)</f>
        <v>0</v>
      </c>
      <c r="AN24" s="2" t="n">
        <f aca="false">IF(O24="exact",1,0)</f>
        <v>1</v>
      </c>
      <c r="AO24" s="2" t="n">
        <f aca="false">IF(T24="ja",1,0)</f>
        <v>1</v>
      </c>
      <c r="AP24" s="2" t="n">
        <f aca="false">IF(U24="ja",1,0)</f>
        <v>0</v>
      </c>
      <c r="AQ24" s="2" t="n">
        <f aca="false">IF(V24="ja",1,0)</f>
        <v>0</v>
      </c>
      <c r="AR24" s="2" t="n">
        <f aca="false">IF(W24="Bennett",1,IF(W24="meting",0.5,0))</f>
        <v>1</v>
      </c>
      <c r="AS24" s="2" t="n">
        <f aca="false">IF(X24="ja",1,0)</f>
        <v>0</v>
      </c>
      <c r="AT24" s="2" t="n">
        <f aca="false">Z24/5</f>
        <v>0.6</v>
      </c>
      <c r="AU24" s="2" t="n">
        <f aca="false">AA24/5</f>
        <v>0.8</v>
      </c>
    </row>
    <row r="25" customFormat="false" ht="26.85" hidden="false" customHeight="false" outlineLevel="0" collapsed="false">
      <c r="A25" s="2" t="s">
        <v>563</v>
      </c>
      <c r="B25" s="5" t="s">
        <v>564</v>
      </c>
      <c r="C25" s="6" t="s">
        <v>173</v>
      </c>
      <c r="D25" s="6" t="s">
        <v>87</v>
      </c>
      <c r="E25" s="6" t="n">
        <v>2015</v>
      </c>
      <c r="F25" s="5" t="s">
        <v>565</v>
      </c>
      <c r="G25" s="6" t="s">
        <v>467</v>
      </c>
      <c r="H25" s="6" t="s">
        <v>76</v>
      </c>
      <c r="I25" s="6" t="n">
        <v>1</v>
      </c>
      <c r="J25" s="6" t="s">
        <v>101</v>
      </c>
      <c r="K25" s="6" t="n">
        <v>2</v>
      </c>
      <c r="L25" s="6" t="s">
        <v>73</v>
      </c>
      <c r="M25" s="6" t="s">
        <v>76</v>
      </c>
      <c r="N25" s="6" t="s">
        <v>76</v>
      </c>
      <c r="O25" s="6" t="s">
        <v>77</v>
      </c>
      <c r="P25" s="6" t="s">
        <v>78</v>
      </c>
      <c r="Q25" s="6" t="s">
        <v>566</v>
      </c>
      <c r="R25" s="6" t="s">
        <v>104</v>
      </c>
      <c r="S25" s="6" t="s">
        <v>80</v>
      </c>
      <c r="T25" s="6" t="s">
        <v>73</v>
      </c>
      <c r="U25" s="6" t="s">
        <v>76</v>
      </c>
      <c r="V25" s="6" t="s">
        <v>76</v>
      </c>
      <c r="W25" s="6" t="s">
        <v>81</v>
      </c>
      <c r="X25" s="6" t="s">
        <v>76</v>
      </c>
      <c r="Y25" s="6" t="s">
        <v>82</v>
      </c>
      <c r="Z25" s="6" t="n">
        <v>2</v>
      </c>
      <c r="AA25" s="6" t="n">
        <v>4</v>
      </c>
      <c r="AB25" s="6" t="n">
        <v>0</v>
      </c>
      <c r="AC25" s="6" t="n">
        <v>0</v>
      </c>
      <c r="AD25" s="6" t="s">
        <v>107</v>
      </c>
      <c r="AE25" s="6" t="s">
        <v>73</v>
      </c>
      <c r="AF25" s="5" t="s">
        <v>567</v>
      </c>
      <c r="AG25" s="3"/>
      <c r="AH25" s="2" t="n">
        <f aca="false">IF(H25="ja",1,0)</f>
        <v>0</v>
      </c>
      <c r="AI25" s="2" t="n">
        <f aca="false">IF(J25="schoon",1,IF(J25="vuil",0.5,0))</f>
        <v>0.5</v>
      </c>
      <c r="AJ25" s="2" t="n">
        <f aca="false">K25/5</f>
        <v>0.4</v>
      </c>
      <c r="AK25" s="2" t="n">
        <f aca="false">IF(L25="ja",1,0)</f>
        <v>1</v>
      </c>
      <c r="AL25" s="2" t="n">
        <f aca="false">IF(M25="ja",1,0)</f>
        <v>0</v>
      </c>
      <c r="AM25" s="2" t="n">
        <f aca="false">IF(N25="ja",1,0)</f>
        <v>0</v>
      </c>
      <c r="AN25" s="2" t="n">
        <f aca="false">IF(O25="exact",1,0)</f>
        <v>1</v>
      </c>
      <c r="AO25" s="2" t="n">
        <f aca="false">IF(T25="ja",1,0)</f>
        <v>1</v>
      </c>
      <c r="AP25" s="2" t="n">
        <f aca="false">IF(U25="ja",1,0)</f>
        <v>0</v>
      </c>
      <c r="AQ25" s="2" t="n">
        <f aca="false">IF(V25="ja",1,0)</f>
        <v>0</v>
      </c>
      <c r="AR25" s="2" t="n">
        <f aca="false">IF(W25="Bennett",1,IF(W25="meting",0.5,0))</f>
        <v>1</v>
      </c>
      <c r="AS25" s="2" t="n">
        <f aca="false">IF(X25="ja",1,0)</f>
        <v>0</v>
      </c>
      <c r="AT25" s="2" t="n">
        <f aca="false">Z25/5</f>
        <v>0.4</v>
      </c>
      <c r="AU25" s="2" t="n">
        <f aca="false">AA25/5</f>
        <v>0.8</v>
      </c>
    </row>
    <row r="26" customFormat="false" ht="15" hidden="false" customHeight="false" outlineLevel="0" collapsed="false">
      <c r="A26" s="2" t="s">
        <v>568</v>
      </c>
      <c r="B26" s="5" t="s">
        <v>569</v>
      </c>
      <c r="C26" s="6" t="s">
        <v>465</v>
      </c>
      <c r="D26" s="6" t="s">
        <v>87</v>
      </c>
      <c r="E26" s="6" t="n">
        <v>1995</v>
      </c>
      <c r="F26" s="5" t="s">
        <v>570</v>
      </c>
      <c r="G26" s="6" t="s">
        <v>467</v>
      </c>
      <c r="H26" s="6" t="s">
        <v>76</v>
      </c>
      <c r="I26" s="6" t="n">
        <v>1</v>
      </c>
      <c r="J26" s="6" t="s">
        <v>101</v>
      </c>
      <c r="K26" s="6" t="n">
        <v>2</v>
      </c>
      <c r="L26" s="6" t="s">
        <v>73</v>
      </c>
      <c r="M26" s="6" t="s">
        <v>76</v>
      </c>
      <c r="N26" s="6" t="s">
        <v>76</v>
      </c>
      <c r="O26" s="6" t="s">
        <v>77</v>
      </c>
      <c r="P26" s="6" t="s">
        <v>78</v>
      </c>
      <c r="Q26" s="6" t="s">
        <v>571</v>
      </c>
      <c r="R26" s="6" t="s">
        <v>104</v>
      </c>
      <c r="S26" s="6" t="s">
        <v>80</v>
      </c>
      <c r="T26" s="6" t="s">
        <v>73</v>
      </c>
      <c r="U26" s="6" t="s">
        <v>76</v>
      </c>
      <c r="V26" s="6" t="s">
        <v>76</v>
      </c>
      <c r="W26" s="6" t="s">
        <v>81</v>
      </c>
      <c r="X26" s="6" t="s">
        <v>76</v>
      </c>
      <c r="Y26" s="6" t="s">
        <v>82</v>
      </c>
      <c r="Z26" s="6" t="n">
        <v>2</v>
      </c>
      <c r="AA26" s="6" t="n">
        <v>5</v>
      </c>
      <c r="AB26" s="6" t="n">
        <v>0</v>
      </c>
      <c r="AC26" s="6" t="n">
        <v>0</v>
      </c>
      <c r="AD26" s="6" t="s">
        <v>73</v>
      </c>
      <c r="AE26" s="6" t="s">
        <v>73</v>
      </c>
      <c r="AF26" s="5" t="s">
        <v>526</v>
      </c>
      <c r="AG26" s="3"/>
      <c r="AH26" s="2" t="n">
        <f aca="false">IF(H26="ja",1,0)</f>
        <v>0</v>
      </c>
      <c r="AI26" s="2" t="n">
        <f aca="false">IF(J26="schoon",1,IF(J26="vuil",0.5,0))</f>
        <v>0.5</v>
      </c>
      <c r="AJ26" s="2" t="n">
        <f aca="false">K26/5</f>
        <v>0.4</v>
      </c>
      <c r="AK26" s="2" t="n">
        <f aca="false">IF(L26="ja",1,0)</f>
        <v>1</v>
      </c>
      <c r="AL26" s="2" t="n">
        <f aca="false">IF(M26="ja",1,0)</f>
        <v>0</v>
      </c>
      <c r="AM26" s="2" t="n">
        <f aca="false">IF(N26="ja",1,0)</f>
        <v>0</v>
      </c>
      <c r="AN26" s="2" t="n">
        <f aca="false">IF(O26="exact",1,0)</f>
        <v>1</v>
      </c>
      <c r="AO26" s="2" t="n">
        <f aca="false">IF(T26="ja",1,0)</f>
        <v>1</v>
      </c>
      <c r="AP26" s="2" t="n">
        <f aca="false">IF(U26="ja",1,0)</f>
        <v>0</v>
      </c>
      <c r="AQ26" s="2" t="n">
        <f aca="false">IF(V26="ja",1,0)</f>
        <v>0</v>
      </c>
      <c r="AR26" s="2" t="n">
        <f aca="false">IF(W26="Bennett",1,IF(W26="meting",0.5,0))</f>
        <v>1</v>
      </c>
      <c r="AS26" s="2" t="n">
        <f aca="false">IF(X26="ja",1,0)</f>
        <v>0</v>
      </c>
      <c r="AT26" s="2" t="n">
        <f aca="false">Z26/5</f>
        <v>0.4</v>
      </c>
      <c r="AU26" s="2" t="n">
        <f aca="false">AA26/5</f>
        <v>1</v>
      </c>
    </row>
    <row r="27" customFormat="false" ht="26.85" hidden="false" customHeight="false" outlineLevel="0" collapsed="false">
      <c r="A27" s="2" t="s">
        <v>572</v>
      </c>
      <c r="B27" s="5" t="s">
        <v>573</v>
      </c>
      <c r="C27" s="6" t="s">
        <v>173</v>
      </c>
      <c r="D27" s="6" t="s">
        <v>87</v>
      </c>
      <c r="E27" s="6" t="n">
        <v>1996</v>
      </c>
      <c r="F27" s="5" t="s">
        <v>574</v>
      </c>
      <c r="G27" s="6" t="s">
        <v>467</v>
      </c>
      <c r="H27" s="6" t="s">
        <v>76</v>
      </c>
      <c r="I27" s="6" t="n">
        <v>0</v>
      </c>
      <c r="J27" s="6" t="s">
        <v>90</v>
      </c>
      <c r="K27" s="6" t="n">
        <v>1</v>
      </c>
      <c r="L27" s="6" t="s">
        <v>73</v>
      </c>
      <c r="M27" s="6" t="s">
        <v>76</v>
      </c>
      <c r="N27" s="6" t="s">
        <v>76</v>
      </c>
      <c r="O27" s="6" t="s">
        <v>77</v>
      </c>
      <c r="P27" s="6" t="s">
        <v>78</v>
      </c>
      <c r="Q27" s="6" t="s">
        <v>545</v>
      </c>
      <c r="R27" s="6" t="s">
        <v>104</v>
      </c>
      <c r="S27" s="6" t="s">
        <v>80</v>
      </c>
      <c r="T27" s="6" t="s">
        <v>73</v>
      </c>
      <c r="U27" s="6" t="s">
        <v>76</v>
      </c>
      <c r="V27" s="6" t="s">
        <v>76</v>
      </c>
      <c r="W27" s="6" t="s">
        <v>81</v>
      </c>
      <c r="X27" s="6" t="s">
        <v>76</v>
      </c>
      <c r="Y27" s="6" t="s">
        <v>82</v>
      </c>
      <c r="Z27" s="6" t="n">
        <v>1</v>
      </c>
      <c r="AA27" s="6" t="n">
        <v>5</v>
      </c>
      <c r="AB27" s="6" t="n">
        <v>0</v>
      </c>
      <c r="AC27" s="6" t="n">
        <v>0</v>
      </c>
      <c r="AD27" s="6" t="s">
        <v>73</v>
      </c>
      <c r="AE27" s="6" t="s">
        <v>73</v>
      </c>
      <c r="AF27" s="5" t="s">
        <v>541</v>
      </c>
      <c r="AG27" s="3"/>
      <c r="AH27" s="2" t="n">
        <f aca="false">IF(H27="ja",1,0)</f>
        <v>0</v>
      </c>
      <c r="AI27" s="2" t="n">
        <f aca="false">IF(J27="schoon",1,IF(J27="vuil",0.5,0))</f>
        <v>0</v>
      </c>
      <c r="AJ27" s="2" t="n">
        <f aca="false">K27/5</f>
        <v>0.2</v>
      </c>
      <c r="AK27" s="2" t="n">
        <f aca="false">IF(L27="ja",1,0)</f>
        <v>1</v>
      </c>
      <c r="AL27" s="2" t="n">
        <f aca="false">IF(M27="ja",1,0)</f>
        <v>0</v>
      </c>
      <c r="AM27" s="2" t="n">
        <f aca="false">IF(N27="ja",1,0)</f>
        <v>0</v>
      </c>
      <c r="AN27" s="2" t="n">
        <f aca="false">IF(O27="exact",1,0)</f>
        <v>1</v>
      </c>
      <c r="AO27" s="2" t="n">
        <f aca="false">IF(T27="ja",1,0)</f>
        <v>1</v>
      </c>
      <c r="AP27" s="2" t="n">
        <f aca="false">IF(U27="ja",1,0)</f>
        <v>0</v>
      </c>
      <c r="AQ27" s="2" t="n">
        <f aca="false">IF(V27="ja",1,0)</f>
        <v>0</v>
      </c>
      <c r="AR27" s="2" t="n">
        <f aca="false">IF(W27="Bennett",1,IF(W27="meting",0.5,0))</f>
        <v>1</v>
      </c>
      <c r="AS27" s="2" t="n">
        <f aca="false">IF(X27="ja",1,0)</f>
        <v>0</v>
      </c>
      <c r="AT27" s="2" t="n">
        <f aca="false">Z27/5</f>
        <v>0.2</v>
      </c>
      <c r="AU27" s="2" t="n">
        <f aca="false">AA27/5</f>
        <v>1</v>
      </c>
    </row>
    <row r="28" customFormat="false" ht="15" hidden="false" customHeight="false" outlineLevel="0" collapsed="false">
      <c r="A28" s="2" t="s">
        <v>575</v>
      </c>
      <c r="B28" s="5" t="s">
        <v>576</v>
      </c>
      <c r="C28" s="6" t="s">
        <v>577</v>
      </c>
      <c r="D28" s="6" t="s">
        <v>87</v>
      </c>
      <c r="E28" s="6" t="n">
        <v>1990</v>
      </c>
      <c r="F28" s="5" t="s">
        <v>578</v>
      </c>
      <c r="G28" s="6" t="s">
        <v>89</v>
      </c>
      <c r="H28" s="6" t="s">
        <v>76</v>
      </c>
      <c r="I28" s="6" t="n">
        <v>0</v>
      </c>
      <c r="J28" s="6" t="s">
        <v>90</v>
      </c>
      <c r="K28" s="6" t="n">
        <v>2</v>
      </c>
      <c r="L28" s="6" t="s">
        <v>73</v>
      </c>
      <c r="M28" s="6" t="s">
        <v>76</v>
      </c>
      <c r="N28" s="6" t="s">
        <v>76</v>
      </c>
      <c r="O28" s="6" t="s">
        <v>77</v>
      </c>
      <c r="P28" s="6" t="s">
        <v>78</v>
      </c>
      <c r="Q28" s="6" t="s">
        <v>579</v>
      </c>
      <c r="R28" s="6" t="s">
        <v>521</v>
      </c>
      <c r="S28" s="6" t="s">
        <v>580</v>
      </c>
      <c r="T28" s="6" t="s">
        <v>73</v>
      </c>
      <c r="U28" s="6" t="s">
        <v>76</v>
      </c>
      <c r="V28" s="6" t="s">
        <v>73</v>
      </c>
      <c r="W28" s="6" t="s">
        <v>81</v>
      </c>
      <c r="X28" s="6" t="s">
        <v>76</v>
      </c>
      <c r="Y28" s="6" t="s">
        <v>82</v>
      </c>
      <c r="Z28" s="6" t="n">
        <v>2</v>
      </c>
      <c r="AA28" s="6" t="n">
        <v>5</v>
      </c>
      <c r="AB28" s="6" t="n">
        <v>0</v>
      </c>
      <c r="AC28" s="6" t="n">
        <v>0</v>
      </c>
      <c r="AD28" s="6" t="s">
        <v>73</v>
      </c>
      <c r="AE28" s="6" t="s">
        <v>73</v>
      </c>
      <c r="AF28" s="5" t="s">
        <v>581</v>
      </c>
      <c r="AG28" s="3"/>
      <c r="AH28" s="2" t="n">
        <f aca="false">IF(H28="ja",1,0)</f>
        <v>0</v>
      </c>
      <c r="AI28" s="2" t="n">
        <f aca="false">IF(J28="schoon",1,IF(J28="vuil",0.5,0))</f>
        <v>0</v>
      </c>
      <c r="AJ28" s="2" t="n">
        <f aca="false">K28/5</f>
        <v>0.4</v>
      </c>
      <c r="AK28" s="2" t="n">
        <f aca="false">IF(L28="ja",1,0)</f>
        <v>1</v>
      </c>
      <c r="AL28" s="2" t="n">
        <f aca="false">IF(M28="ja",1,0)</f>
        <v>0</v>
      </c>
      <c r="AM28" s="2" t="n">
        <f aca="false">IF(N28="ja",1,0)</f>
        <v>0</v>
      </c>
      <c r="AN28" s="2" t="n">
        <f aca="false">IF(O28="exact",1,0)</f>
        <v>1</v>
      </c>
      <c r="AO28" s="2" t="n">
        <f aca="false">IF(T28="ja",1,0)</f>
        <v>1</v>
      </c>
      <c r="AP28" s="2" t="n">
        <f aca="false">IF(U28="ja",1,0)</f>
        <v>0</v>
      </c>
      <c r="AQ28" s="2" t="n">
        <f aca="false">IF(V28="ja",1,0)</f>
        <v>1</v>
      </c>
      <c r="AR28" s="2" t="n">
        <f aca="false">IF(W28="Bennett",1,IF(W28="meting",0.5,0))</f>
        <v>1</v>
      </c>
      <c r="AS28" s="2" t="n">
        <f aca="false">IF(X28="ja",1,0)</f>
        <v>0</v>
      </c>
      <c r="AT28" s="2" t="n">
        <f aca="false">Z28/5</f>
        <v>0.4</v>
      </c>
      <c r="AU28" s="2" t="n">
        <f aca="false">AA28/5</f>
        <v>1</v>
      </c>
    </row>
    <row r="29" customFormat="false" ht="26.85" hidden="false" customHeight="false" outlineLevel="0" collapsed="false">
      <c r="A29" s="2" t="s">
        <v>582</v>
      </c>
      <c r="B29" s="5" t="s">
        <v>583</v>
      </c>
      <c r="C29" s="6" t="s">
        <v>132</v>
      </c>
      <c r="D29" s="6" t="s">
        <v>87</v>
      </c>
      <c r="E29" s="6" t="n">
        <v>1996</v>
      </c>
      <c r="F29" s="5" t="s">
        <v>584</v>
      </c>
      <c r="G29" s="6" t="s">
        <v>467</v>
      </c>
      <c r="H29" s="6" t="s">
        <v>73</v>
      </c>
      <c r="I29" s="6" t="n">
        <v>1</v>
      </c>
      <c r="J29" s="6" t="s">
        <v>75</v>
      </c>
      <c r="K29" s="6" t="n">
        <v>2</v>
      </c>
      <c r="L29" s="6" t="s">
        <v>73</v>
      </c>
      <c r="M29" s="6" t="s">
        <v>76</v>
      </c>
      <c r="N29" s="6" t="s">
        <v>76</v>
      </c>
      <c r="O29" s="6" t="s">
        <v>77</v>
      </c>
      <c r="P29" s="6" t="s">
        <v>78</v>
      </c>
      <c r="Q29" s="6" t="s">
        <v>585</v>
      </c>
      <c r="R29" s="6" t="s">
        <v>104</v>
      </c>
      <c r="S29" s="6" t="s">
        <v>80</v>
      </c>
      <c r="T29" s="6" t="s">
        <v>73</v>
      </c>
      <c r="U29" s="6" t="s">
        <v>76</v>
      </c>
      <c r="V29" s="6" t="s">
        <v>76</v>
      </c>
      <c r="W29" s="6" t="s">
        <v>81</v>
      </c>
      <c r="X29" s="6" t="s">
        <v>76</v>
      </c>
      <c r="Y29" s="6" t="s">
        <v>82</v>
      </c>
      <c r="Z29" s="6" t="n">
        <v>2</v>
      </c>
      <c r="AA29" s="6" t="n">
        <v>5</v>
      </c>
      <c r="AB29" s="6" t="n">
        <v>0</v>
      </c>
      <c r="AC29" s="6" t="n">
        <v>0</v>
      </c>
      <c r="AD29" s="6" t="s">
        <v>107</v>
      </c>
      <c r="AE29" s="6" t="s">
        <v>73</v>
      </c>
      <c r="AF29" s="5" t="s">
        <v>586</v>
      </c>
      <c r="AG29" s="3"/>
      <c r="AH29" s="2" t="n">
        <f aca="false">IF(H29="ja",1,0)</f>
        <v>1</v>
      </c>
      <c r="AI29" s="2" t="n">
        <f aca="false">IF(J29="schoon",1,IF(J29="vuil",0.5,0))</f>
        <v>1</v>
      </c>
      <c r="AJ29" s="2" t="n">
        <f aca="false">K29/5</f>
        <v>0.4</v>
      </c>
      <c r="AK29" s="2" t="n">
        <f aca="false">IF(L29="ja",1,0)</f>
        <v>1</v>
      </c>
      <c r="AL29" s="2" t="n">
        <f aca="false">IF(M29="ja",1,0)</f>
        <v>0</v>
      </c>
      <c r="AM29" s="2" t="n">
        <f aca="false">IF(N29="ja",1,0)</f>
        <v>0</v>
      </c>
      <c r="AN29" s="2" t="n">
        <f aca="false">IF(O29="exact",1,0)</f>
        <v>1</v>
      </c>
      <c r="AO29" s="2" t="n">
        <f aca="false">IF(T29="ja",1,0)</f>
        <v>1</v>
      </c>
      <c r="AP29" s="2" t="n">
        <f aca="false">IF(U29="ja",1,0)</f>
        <v>0</v>
      </c>
      <c r="AQ29" s="2" t="n">
        <f aca="false">IF(V29="ja",1,0)</f>
        <v>0</v>
      </c>
      <c r="AR29" s="2" t="n">
        <f aca="false">IF(W29="Bennett",1,IF(W29="meting",0.5,0))</f>
        <v>1</v>
      </c>
      <c r="AS29" s="2" t="n">
        <f aca="false">IF(X29="ja",1,0)</f>
        <v>0</v>
      </c>
      <c r="AT29" s="2" t="n">
        <f aca="false">Z29/5</f>
        <v>0.4</v>
      </c>
      <c r="AU29" s="2" t="n">
        <f aca="false">AA29/5</f>
        <v>1</v>
      </c>
    </row>
    <row r="30" customFormat="false" ht="26.85" hidden="false" customHeight="false" outlineLevel="0" collapsed="false">
      <c r="A30" s="2" t="s">
        <v>587</v>
      </c>
      <c r="B30" s="5" t="s">
        <v>588</v>
      </c>
      <c r="C30" s="6" t="s">
        <v>132</v>
      </c>
      <c r="D30" s="6" t="s">
        <v>69</v>
      </c>
      <c r="E30" s="6" t="n">
        <v>2017</v>
      </c>
      <c r="F30" s="5" t="s">
        <v>589</v>
      </c>
      <c r="G30" s="6" t="s">
        <v>467</v>
      </c>
      <c r="H30" s="6" t="s">
        <v>76</v>
      </c>
      <c r="I30" s="6" t="n">
        <v>1</v>
      </c>
      <c r="J30" s="6" t="s">
        <v>75</v>
      </c>
      <c r="K30" s="6" t="n">
        <v>1</v>
      </c>
      <c r="L30" s="6" t="s">
        <v>73</v>
      </c>
      <c r="M30" s="6" t="s">
        <v>76</v>
      </c>
      <c r="N30" s="6" t="s">
        <v>76</v>
      </c>
      <c r="O30" s="6" t="s">
        <v>77</v>
      </c>
      <c r="P30" s="6" t="s">
        <v>78</v>
      </c>
      <c r="Q30" s="6" t="s">
        <v>520</v>
      </c>
      <c r="R30" s="6" t="s">
        <v>104</v>
      </c>
      <c r="S30" s="6" t="s">
        <v>80</v>
      </c>
      <c r="T30" s="6" t="s">
        <v>73</v>
      </c>
      <c r="U30" s="6" t="s">
        <v>76</v>
      </c>
      <c r="V30" s="6" t="s">
        <v>76</v>
      </c>
      <c r="W30" s="6" t="s">
        <v>81</v>
      </c>
      <c r="X30" s="6" t="s">
        <v>76</v>
      </c>
      <c r="Y30" s="6" t="s">
        <v>82</v>
      </c>
      <c r="Z30" s="6" t="n">
        <v>2</v>
      </c>
      <c r="AA30" s="6" t="n">
        <v>5</v>
      </c>
      <c r="AB30" s="6" t="n">
        <v>0</v>
      </c>
      <c r="AC30" s="6" t="n">
        <v>0</v>
      </c>
      <c r="AD30" s="6" t="s">
        <v>107</v>
      </c>
      <c r="AE30" s="6" t="s">
        <v>73</v>
      </c>
      <c r="AF30" s="5" t="s">
        <v>590</v>
      </c>
      <c r="AG30" s="3"/>
      <c r="AH30" s="2" t="n">
        <f aca="false">IF(H30="ja",1,0)</f>
        <v>0</v>
      </c>
      <c r="AI30" s="2" t="n">
        <f aca="false">IF(J30="schoon",1,IF(J30="vuil",0.5,0))</f>
        <v>1</v>
      </c>
      <c r="AJ30" s="2" t="n">
        <f aca="false">K30/5</f>
        <v>0.2</v>
      </c>
      <c r="AK30" s="2" t="n">
        <f aca="false">IF(L30="ja",1,0)</f>
        <v>1</v>
      </c>
      <c r="AL30" s="2" t="n">
        <f aca="false">IF(M30="ja",1,0)</f>
        <v>0</v>
      </c>
      <c r="AM30" s="2" t="n">
        <f aca="false">IF(N30="ja",1,0)</f>
        <v>0</v>
      </c>
      <c r="AN30" s="2" t="n">
        <f aca="false">IF(O30="exact",1,0)</f>
        <v>1</v>
      </c>
      <c r="AO30" s="2" t="n">
        <f aca="false">IF(T30="ja",1,0)</f>
        <v>1</v>
      </c>
      <c r="AP30" s="2" t="n">
        <f aca="false">IF(U30="ja",1,0)</f>
        <v>0</v>
      </c>
      <c r="AQ30" s="2" t="n">
        <f aca="false">IF(V30="ja",1,0)</f>
        <v>0</v>
      </c>
      <c r="AR30" s="2" t="n">
        <f aca="false">IF(W30="Bennett",1,IF(W30="meting",0.5,0))</f>
        <v>1</v>
      </c>
      <c r="AS30" s="2" t="n">
        <f aca="false">IF(X30="ja",1,0)</f>
        <v>0</v>
      </c>
      <c r="AT30" s="2" t="n">
        <f aca="false">Z30/5</f>
        <v>0.4</v>
      </c>
      <c r="AU30" s="2" t="n">
        <f aca="false">AA30/5</f>
        <v>1</v>
      </c>
    </row>
    <row r="31" customFormat="false" ht="26.85" hidden="false" customHeight="false" outlineLevel="0" collapsed="false">
      <c r="A31" s="2" t="s">
        <v>591</v>
      </c>
      <c r="B31" s="5" t="s">
        <v>592</v>
      </c>
      <c r="C31" s="6" t="s">
        <v>185</v>
      </c>
      <c r="D31" s="6" t="s">
        <v>69</v>
      </c>
      <c r="E31" s="6" t="n">
        <v>2018</v>
      </c>
      <c r="F31" s="5" t="s">
        <v>593</v>
      </c>
      <c r="G31" s="6" t="s">
        <v>89</v>
      </c>
      <c r="H31" s="6" t="s">
        <v>73</v>
      </c>
      <c r="I31" s="6" t="n">
        <v>256</v>
      </c>
      <c r="J31" s="6" t="s">
        <v>75</v>
      </c>
      <c r="K31" s="6" t="n">
        <v>3</v>
      </c>
      <c r="L31" s="6" t="s">
        <v>73</v>
      </c>
      <c r="M31" s="6" t="s">
        <v>76</v>
      </c>
      <c r="N31" s="6" t="s">
        <v>76</v>
      </c>
      <c r="O31" s="6" t="s">
        <v>77</v>
      </c>
      <c r="P31" s="6" t="s">
        <v>78</v>
      </c>
      <c r="Q31" s="6" t="s">
        <v>594</v>
      </c>
      <c r="R31" s="6" t="s">
        <v>80</v>
      </c>
      <c r="S31" s="6" t="s">
        <v>79</v>
      </c>
      <c r="T31" s="6" t="s">
        <v>73</v>
      </c>
      <c r="U31" s="6" t="s">
        <v>76</v>
      </c>
      <c r="V31" s="6" t="s">
        <v>76</v>
      </c>
      <c r="W31" s="6" t="s">
        <v>81</v>
      </c>
      <c r="X31" s="6" t="s">
        <v>76</v>
      </c>
      <c r="Y31" s="6" t="s">
        <v>82</v>
      </c>
      <c r="Z31" s="6" t="n">
        <v>3</v>
      </c>
      <c r="AA31" s="6" t="n">
        <v>5</v>
      </c>
      <c r="AB31" s="6" t="n">
        <v>0</v>
      </c>
      <c r="AC31" s="6" t="n">
        <v>0</v>
      </c>
      <c r="AD31" s="6" t="s">
        <v>107</v>
      </c>
      <c r="AE31" s="6" t="s">
        <v>73</v>
      </c>
      <c r="AF31" s="5" t="s">
        <v>595</v>
      </c>
      <c r="AG31" s="3"/>
      <c r="AH31" s="2" t="n">
        <f aca="false">IF(H31="ja",1,0)</f>
        <v>1</v>
      </c>
      <c r="AI31" s="2" t="n">
        <f aca="false">IF(J31="schoon",1,IF(J31="vuil",0.5,0))</f>
        <v>1</v>
      </c>
      <c r="AJ31" s="2" t="n">
        <f aca="false">K31/5</f>
        <v>0.6</v>
      </c>
      <c r="AK31" s="2" t="n">
        <f aca="false">IF(L31="ja",1,0)</f>
        <v>1</v>
      </c>
      <c r="AL31" s="2" t="n">
        <f aca="false">IF(M31="ja",1,0)</f>
        <v>0</v>
      </c>
      <c r="AM31" s="2" t="n">
        <f aca="false">IF(N31="ja",1,0)</f>
        <v>0</v>
      </c>
      <c r="AN31" s="2" t="n">
        <f aca="false">IF(O31="exact",1,0)</f>
        <v>1</v>
      </c>
      <c r="AO31" s="2" t="n">
        <f aca="false">IF(T31="ja",1,0)</f>
        <v>1</v>
      </c>
      <c r="AP31" s="2" t="n">
        <f aca="false">IF(U31="ja",1,0)</f>
        <v>0</v>
      </c>
      <c r="AQ31" s="2" t="n">
        <f aca="false">IF(V31="ja",1,0)</f>
        <v>0</v>
      </c>
      <c r="AR31" s="2" t="n">
        <f aca="false">IF(W31="Bennett",1,IF(W31="meting",0.5,0))</f>
        <v>1</v>
      </c>
      <c r="AS31" s="2" t="n">
        <f aca="false">IF(X31="ja",1,0)</f>
        <v>0</v>
      </c>
      <c r="AT31" s="2" t="n">
        <f aca="false">Z31/5</f>
        <v>0.6</v>
      </c>
      <c r="AU31" s="2" t="n">
        <f aca="false">AA31/5</f>
        <v>1</v>
      </c>
    </row>
    <row r="32" customFormat="false" ht="15" hidden="false" customHeight="false" outlineLevel="0" collapsed="false">
      <c r="A32" s="2" t="s">
        <v>596</v>
      </c>
      <c r="B32" s="5" t="s">
        <v>597</v>
      </c>
      <c r="C32" s="6" t="s">
        <v>185</v>
      </c>
      <c r="D32" s="6" t="s">
        <v>69</v>
      </c>
      <c r="E32" s="6" t="n">
        <v>1960</v>
      </c>
      <c r="F32" s="5" t="s">
        <v>574</v>
      </c>
      <c r="G32" s="6" t="s">
        <v>89</v>
      </c>
      <c r="H32" s="6" t="s">
        <v>73</v>
      </c>
      <c r="I32" s="6" t="n">
        <v>256</v>
      </c>
      <c r="J32" s="6" t="s">
        <v>75</v>
      </c>
      <c r="K32" s="6" t="n">
        <v>3</v>
      </c>
      <c r="L32" s="6" t="s">
        <v>73</v>
      </c>
      <c r="M32" s="6" t="s">
        <v>76</v>
      </c>
      <c r="N32" s="6" t="s">
        <v>76</v>
      </c>
      <c r="O32" s="6" t="s">
        <v>77</v>
      </c>
      <c r="P32" s="6" t="s">
        <v>78</v>
      </c>
      <c r="Q32" s="6" t="s">
        <v>598</v>
      </c>
      <c r="R32" s="6" t="s">
        <v>80</v>
      </c>
      <c r="S32" s="6" t="s">
        <v>79</v>
      </c>
      <c r="T32" s="6" t="s">
        <v>73</v>
      </c>
      <c r="U32" s="6" t="s">
        <v>76</v>
      </c>
      <c r="V32" s="6" t="s">
        <v>76</v>
      </c>
      <c r="W32" s="6" t="s">
        <v>81</v>
      </c>
      <c r="X32" s="6" t="s">
        <v>76</v>
      </c>
      <c r="Y32" s="6" t="s">
        <v>82</v>
      </c>
      <c r="Z32" s="6" t="n">
        <v>2</v>
      </c>
      <c r="AA32" s="6" t="n">
        <v>5</v>
      </c>
      <c r="AB32" s="6" t="n">
        <v>0</v>
      </c>
      <c r="AC32" s="6" t="n">
        <v>0</v>
      </c>
      <c r="AD32" s="6" t="s">
        <v>76</v>
      </c>
      <c r="AE32" s="6" t="s">
        <v>73</v>
      </c>
      <c r="AF32" s="5" t="s">
        <v>599</v>
      </c>
      <c r="AG32" s="3"/>
      <c r="AH32" s="2" t="n">
        <f aca="false">IF(H32="ja",1,0)</f>
        <v>1</v>
      </c>
      <c r="AI32" s="2" t="n">
        <f aca="false">IF(J32="schoon",1,IF(J32="vuil",0.5,0))</f>
        <v>1</v>
      </c>
      <c r="AJ32" s="2" t="n">
        <f aca="false">K32/5</f>
        <v>0.6</v>
      </c>
      <c r="AK32" s="2" t="n">
        <f aca="false">IF(L32="ja",1,0)</f>
        <v>1</v>
      </c>
      <c r="AL32" s="2" t="n">
        <f aca="false">IF(M32="ja",1,0)</f>
        <v>0</v>
      </c>
      <c r="AM32" s="2" t="n">
        <f aca="false">IF(N32="ja",1,0)</f>
        <v>0</v>
      </c>
      <c r="AN32" s="2" t="n">
        <f aca="false">IF(O32="exact",1,0)</f>
        <v>1</v>
      </c>
      <c r="AO32" s="2" t="n">
        <f aca="false">IF(T32="ja",1,0)</f>
        <v>1</v>
      </c>
      <c r="AP32" s="2" t="n">
        <f aca="false">IF(U32="ja",1,0)</f>
        <v>0</v>
      </c>
      <c r="AQ32" s="2" t="n">
        <f aca="false">IF(V32="ja",1,0)</f>
        <v>0</v>
      </c>
      <c r="AR32" s="2" t="n">
        <f aca="false">IF(W32="Bennett",1,IF(W32="meting",0.5,0))</f>
        <v>1</v>
      </c>
      <c r="AS32" s="2" t="n">
        <f aca="false">IF(X32="ja",1,0)</f>
        <v>0</v>
      </c>
      <c r="AT32" s="2" t="n">
        <f aca="false">Z32/5</f>
        <v>0.4</v>
      </c>
      <c r="AU32" s="2" t="n">
        <f aca="false">AA32/5</f>
        <v>1</v>
      </c>
    </row>
    <row r="33" customFormat="false" ht="15" hidden="false" customHeight="false" outlineLevel="0" collapsed="false">
      <c r="A33" s="2" t="s">
        <v>600</v>
      </c>
      <c r="B33" s="5" t="s">
        <v>601</v>
      </c>
      <c r="C33" s="6" t="s">
        <v>132</v>
      </c>
      <c r="D33" s="6" t="s">
        <v>69</v>
      </c>
      <c r="E33" s="6" t="n">
        <v>1999</v>
      </c>
      <c r="F33" s="5" t="s">
        <v>602</v>
      </c>
      <c r="G33" s="6" t="s">
        <v>89</v>
      </c>
      <c r="H33" s="6" t="s">
        <v>73</v>
      </c>
      <c r="I33" s="6" t="n">
        <v>40</v>
      </c>
      <c r="J33" s="6" t="s">
        <v>75</v>
      </c>
      <c r="K33" s="6" t="n">
        <v>2</v>
      </c>
      <c r="L33" s="6" t="s">
        <v>73</v>
      </c>
      <c r="M33" s="6" t="s">
        <v>76</v>
      </c>
      <c r="N33" s="6" t="s">
        <v>76</v>
      </c>
      <c r="O33" s="6" t="s">
        <v>77</v>
      </c>
      <c r="P33" s="6" t="s">
        <v>78</v>
      </c>
      <c r="Q33" s="6" t="s">
        <v>603</v>
      </c>
      <c r="R33" s="6" t="s">
        <v>80</v>
      </c>
      <c r="S33" s="6" t="s">
        <v>80</v>
      </c>
      <c r="T33" s="6" t="s">
        <v>73</v>
      </c>
      <c r="U33" s="6" t="s">
        <v>76</v>
      </c>
      <c r="V33" s="6" t="s">
        <v>76</v>
      </c>
      <c r="W33" s="6" t="s">
        <v>81</v>
      </c>
      <c r="X33" s="6" t="s">
        <v>76</v>
      </c>
      <c r="Y33" s="6" t="s">
        <v>82</v>
      </c>
      <c r="Z33" s="6" t="n">
        <v>2</v>
      </c>
      <c r="AA33" s="6" t="n">
        <v>5</v>
      </c>
      <c r="AB33" s="6" t="n">
        <v>0</v>
      </c>
      <c r="AC33" s="6" t="n">
        <v>0</v>
      </c>
      <c r="AD33" s="6" t="s">
        <v>73</v>
      </c>
      <c r="AE33" s="6" t="s">
        <v>73</v>
      </c>
      <c r="AF33" s="5" t="s">
        <v>604</v>
      </c>
      <c r="AG33" s="3"/>
      <c r="AH33" s="2" t="n">
        <f aca="false">IF(H33="ja",1,0)</f>
        <v>1</v>
      </c>
      <c r="AI33" s="2" t="n">
        <f aca="false">IF(J33="schoon",1,IF(J33="vuil",0.5,0))</f>
        <v>1</v>
      </c>
      <c r="AJ33" s="2" t="n">
        <f aca="false">K33/5</f>
        <v>0.4</v>
      </c>
      <c r="AK33" s="2" t="n">
        <f aca="false">IF(L33="ja",1,0)</f>
        <v>1</v>
      </c>
      <c r="AL33" s="2" t="n">
        <f aca="false">IF(M33="ja",1,0)</f>
        <v>0</v>
      </c>
      <c r="AM33" s="2" t="n">
        <f aca="false">IF(N33="ja",1,0)</f>
        <v>0</v>
      </c>
      <c r="AN33" s="2" t="n">
        <f aca="false">IF(O33="exact",1,0)</f>
        <v>1</v>
      </c>
      <c r="AO33" s="2" t="n">
        <f aca="false">IF(T33="ja",1,0)</f>
        <v>1</v>
      </c>
      <c r="AP33" s="2" t="n">
        <f aca="false">IF(U33="ja",1,0)</f>
        <v>0</v>
      </c>
      <c r="AQ33" s="2" t="n">
        <f aca="false">IF(V33="ja",1,0)</f>
        <v>0</v>
      </c>
      <c r="AR33" s="2" t="n">
        <f aca="false">IF(W33="Bennett",1,IF(W33="meting",0.5,0))</f>
        <v>1</v>
      </c>
      <c r="AS33" s="2" t="n">
        <f aca="false">IF(X33="ja",1,0)</f>
        <v>0</v>
      </c>
      <c r="AT33" s="2" t="n">
        <f aca="false">Z33/5</f>
        <v>0.4</v>
      </c>
      <c r="AU33" s="2" t="n">
        <f aca="false">AA33/5</f>
        <v>1</v>
      </c>
    </row>
    <row r="34" customFormat="false" ht="15" hidden="false" customHeight="false" outlineLevel="0" collapsed="false">
      <c r="A34" s="2" t="s">
        <v>605</v>
      </c>
      <c r="B34" s="5" t="s">
        <v>606</v>
      </c>
      <c r="C34" s="6" t="s">
        <v>151</v>
      </c>
      <c r="D34" s="6" t="s">
        <v>87</v>
      </c>
      <c r="E34" s="6" t="n">
        <v>1973</v>
      </c>
      <c r="F34" s="5" t="s">
        <v>607</v>
      </c>
      <c r="G34" s="6" t="s">
        <v>467</v>
      </c>
      <c r="H34" s="6" t="s">
        <v>76</v>
      </c>
      <c r="I34" s="6" t="n">
        <v>256</v>
      </c>
      <c r="J34" s="6" t="s">
        <v>75</v>
      </c>
      <c r="K34" s="6" t="n">
        <v>3</v>
      </c>
      <c r="L34" s="6" t="s">
        <v>73</v>
      </c>
      <c r="M34" s="6" t="s">
        <v>76</v>
      </c>
      <c r="N34" s="6" t="s">
        <v>76</v>
      </c>
      <c r="O34" s="6" t="s">
        <v>77</v>
      </c>
      <c r="P34" s="6" t="s">
        <v>78</v>
      </c>
      <c r="Q34" s="6" t="s">
        <v>608</v>
      </c>
      <c r="R34" s="6" t="s">
        <v>80</v>
      </c>
      <c r="S34" s="6" t="s">
        <v>608</v>
      </c>
      <c r="T34" s="6" t="s">
        <v>73</v>
      </c>
      <c r="U34" s="6" t="s">
        <v>76</v>
      </c>
      <c r="V34" s="6" t="s">
        <v>76</v>
      </c>
      <c r="W34" s="6" t="s">
        <v>81</v>
      </c>
      <c r="X34" s="6" t="s">
        <v>76</v>
      </c>
      <c r="Y34" s="6" t="s">
        <v>82</v>
      </c>
      <c r="Z34" s="6" t="n">
        <v>1</v>
      </c>
      <c r="AA34" s="6" t="n">
        <v>5</v>
      </c>
      <c r="AB34" s="6" t="n">
        <v>0</v>
      </c>
      <c r="AC34" s="6" t="n">
        <v>0</v>
      </c>
      <c r="AD34" s="6" t="s">
        <v>73</v>
      </c>
      <c r="AE34" s="6" t="s">
        <v>73</v>
      </c>
      <c r="AF34" s="5" t="s">
        <v>609</v>
      </c>
      <c r="AG34" s="3"/>
      <c r="AH34" s="2" t="n">
        <f aca="false">IF(H34="ja",1,0)</f>
        <v>0</v>
      </c>
      <c r="AI34" s="2" t="n">
        <f aca="false">IF(J34="schoon",1,IF(J34="vuil",0.5,0))</f>
        <v>1</v>
      </c>
      <c r="AJ34" s="2" t="n">
        <f aca="false">K34/5</f>
        <v>0.6</v>
      </c>
      <c r="AK34" s="2" t="n">
        <f aca="false">IF(L34="ja",1,0)</f>
        <v>1</v>
      </c>
      <c r="AL34" s="2" t="n">
        <f aca="false">IF(M34="ja",1,0)</f>
        <v>0</v>
      </c>
      <c r="AM34" s="2" t="n">
        <f aca="false">IF(N34="ja",1,0)</f>
        <v>0</v>
      </c>
      <c r="AN34" s="2" t="n">
        <f aca="false">IF(O34="exact",1,0)</f>
        <v>1</v>
      </c>
      <c r="AO34" s="2" t="n">
        <f aca="false">IF(T34="ja",1,0)</f>
        <v>1</v>
      </c>
      <c r="AP34" s="2" t="n">
        <f aca="false">IF(U34="ja",1,0)</f>
        <v>0</v>
      </c>
      <c r="AQ34" s="2" t="n">
        <f aca="false">IF(V34="ja",1,0)</f>
        <v>0</v>
      </c>
      <c r="AR34" s="2" t="n">
        <f aca="false">IF(W34="Bennett",1,IF(W34="meting",0.5,0))</f>
        <v>1</v>
      </c>
      <c r="AS34" s="2" t="n">
        <f aca="false">IF(X34="ja",1,0)</f>
        <v>0</v>
      </c>
      <c r="AT34" s="2" t="n">
        <f aca="false">Z34/5</f>
        <v>0.2</v>
      </c>
      <c r="AU34" s="2" t="n">
        <f aca="false">AA34/5</f>
        <v>1</v>
      </c>
    </row>
    <row r="35" customFormat="false" ht="26.85" hidden="false" customHeight="false" outlineLevel="0" collapsed="false">
      <c r="A35" s="2" t="s">
        <v>610</v>
      </c>
      <c r="B35" s="5" t="s">
        <v>611</v>
      </c>
      <c r="C35" s="6" t="s">
        <v>441</v>
      </c>
      <c r="D35" s="6" t="s">
        <v>162</v>
      </c>
      <c r="E35" s="6" t="n">
        <v>1950</v>
      </c>
      <c r="F35" s="5" t="s">
        <v>612</v>
      </c>
      <c r="G35" s="6" t="s">
        <v>100</v>
      </c>
      <c r="H35" s="6" t="s">
        <v>73</v>
      </c>
      <c r="I35" s="6" t="n">
        <v>0</v>
      </c>
      <c r="J35" s="6" t="s">
        <v>75</v>
      </c>
      <c r="K35" s="6" t="n">
        <v>1</v>
      </c>
      <c r="L35" s="6" t="s">
        <v>76</v>
      </c>
      <c r="M35" s="6" t="s">
        <v>76</v>
      </c>
      <c r="N35" s="6" t="s">
        <v>76</v>
      </c>
      <c r="O35" s="6" t="s">
        <v>77</v>
      </c>
      <c r="P35" s="6" t="s">
        <v>78</v>
      </c>
      <c r="Q35" s="6" t="s">
        <v>613</v>
      </c>
      <c r="R35" s="6" t="s">
        <v>614</v>
      </c>
      <c r="S35" s="6" t="s">
        <v>104</v>
      </c>
      <c r="T35" s="6" t="s">
        <v>73</v>
      </c>
      <c r="U35" s="6" t="s">
        <v>76</v>
      </c>
      <c r="V35" s="6" t="s">
        <v>73</v>
      </c>
      <c r="W35" s="6" t="s">
        <v>81</v>
      </c>
      <c r="X35" s="6" t="s">
        <v>76</v>
      </c>
      <c r="Y35" s="6" t="s">
        <v>82</v>
      </c>
      <c r="Z35" s="6" t="n">
        <v>3</v>
      </c>
      <c r="AA35" s="6" t="n">
        <v>4</v>
      </c>
      <c r="AB35" s="6" t="n">
        <v>0</v>
      </c>
      <c r="AC35" s="6" t="n">
        <v>-96</v>
      </c>
      <c r="AD35" s="6" t="s">
        <v>76</v>
      </c>
      <c r="AE35" s="6" t="s">
        <v>73</v>
      </c>
      <c r="AF35" s="5" t="s">
        <v>615</v>
      </c>
      <c r="AG35" s="3"/>
      <c r="AH35" s="2" t="n">
        <f aca="false">IF(H35="ja",1,0)</f>
        <v>1</v>
      </c>
      <c r="AI35" s="2" t="n">
        <f aca="false">IF(J35="schoon",1,IF(J35="vuil",0.5,0))</f>
        <v>1</v>
      </c>
      <c r="AJ35" s="2" t="n">
        <f aca="false">K35/5</f>
        <v>0.2</v>
      </c>
      <c r="AK35" s="2" t="n">
        <f aca="false">IF(L35="ja",1,0)</f>
        <v>0</v>
      </c>
      <c r="AL35" s="2" t="n">
        <f aca="false">IF(M35="ja",1,0)</f>
        <v>0</v>
      </c>
      <c r="AM35" s="2" t="n">
        <f aca="false">IF(N35="ja",1,0)</f>
        <v>0</v>
      </c>
      <c r="AN35" s="2" t="n">
        <f aca="false">IF(O35="exact",1,0)</f>
        <v>1</v>
      </c>
      <c r="AO35" s="2" t="n">
        <f aca="false">IF(T35="ja",1,0)</f>
        <v>1</v>
      </c>
      <c r="AP35" s="2" t="n">
        <f aca="false">IF(U35="ja",1,0)</f>
        <v>0</v>
      </c>
      <c r="AQ35" s="2" t="n">
        <f aca="false">IF(V35="ja",1,0)</f>
        <v>1</v>
      </c>
      <c r="AR35" s="2" t="n">
        <f aca="false">IF(W35="Bennett",1,IF(W35="meting",0.5,0))</f>
        <v>1</v>
      </c>
      <c r="AS35" s="2" t="n">
        <f aca="false">IF(X35="ja",1,0)</f>
        <v>0</v>
      </c>
      <c r="AT35" s="2" t="n">
        <f aca="false">Z35/5</f>
        <v>0.6</v>
      </c>
      <c r="AU35" s="2" t="n">
        <f aca="false">AA35/5</f>
        <v>0.8</v>
      </c>
    </row>
    <row r="36" customFormat="false" ht="15" hidden="false" customHeight="false" outlineLevel="0" collapsed="false">
      <c r="A36" s="2" t="s">
        <v>616</v>
      </c>
      <c r="B36" s="5" t="s">
        <v>617</v>
      </c>
      <c r="C36" s="6" t="s">
        <v>415</v>
      </c>
      <c r="D36" s="6" t="s">
        <v>87</v>
      </c>
      <c r="E36" s="6" t="n">
        <v>2018</v>
      </c>
      <c r="F36" s="5" t="s">
        <v>618</v>
      </c>
      <c r="G36" s="6" t="s">
        <v>89</v>
      </c>
      <c r="H36" s="6" t="s">
        <v>73</v>
      </c>
      <c r="I36" s="6" t="n">
        <v>10</v>
      </c>
      <c r="J36" s="6" t="s">
        <v>75</v>
      </c>
      <c r="K36" s="6" t="n">
        <v>2</v>
      </c>
      <c r="L36" s="6" t="s">
        <v>73</v>
      </c>
      <c r="M36" s="6" t="s">
        <v>73</v>
      </c>
      <c r="N36" s="6" t="s">
        <v>73</v>
      </c>
      <c r="O36" s="6" t="s">
        <v>77</v>
      </c>
      <c r="P36" s="6" t="s">
        <v>78</v>
      </c>
      <c r="Q36" s="6" t="s">
        <v>619</v>
      </c>
      <c r="R36" s="6" t="s">
        <v>320</v>
      </c>
      <c r="S36" s="6" t="s">
        <v>620</v>
      </c>
      <c r="T36" s="6" t="s">
        <v>73</v>
      </c>
      <c r="U36" s="6" t="s">
        <v>76</v>
      </c>
      <c r="V36" s="6" t="s">
        <v>76</v>
      </c>
      <c r="W36" s="6" t="s">
        <v>105</v>
      </c>
      <c r="X36" s="6" t="s">
        <v>73</v>
      </c>
      <c r="Y36" s="6" t="s">
        <v>106</v>
      </c>
      <c r="Z36" s="6" t="n">
        <v>3</v>
      </c>
      <c r="AA36" s="6" t="n">
        <v>5</v>
      </c>
      <c r="AB36" s="6" t="n">
        <v>0</v>
      </c>
      <c r="AC36" s="6" t="n">
        <v>0</v>
      </c>
      <c r="AD36" s="6" t="s">
        <v>76</v>
      </c>
      <c r="AE36" s="6" t="s">
        <v>73</v>
      </c>
      <c r="AF36" s="5" t="s">
        <v>621</v>
      </c>
      <c r="AG36" s="3"/>
      <c r="AH36" s="2" t="n">
        <f aca="false">IF(H36="ja",1,0)</f>
        <v>1</v>
      </c>
      <c r="AI36" s="2" t="n">
        <f aca="false">IF(J36="schoon",1,IF(J36="vuil",0.5,0))</f>
        <v>1</v>
      </c>
      <c r="AJ36" s="2" t="n">
        <f aca="false">K36/5</f>
        <v>0.4</v>
      </c>
      <c r="AK36" s="2" t="n">
        <f aca="false">IF(L36="ja",1,0)</f>
        <v>1</v>
      </c>
      <c r="AL36" s="2" t="n">
        <f aca="false">IF(M36="ja",1,0)</f>
        <v>1</v>
      </c>
      <c r="AM36" s="2" t="n">
        <f aca="false">IF(N36="ja",1,0)</f>
        <v>1</v>
      </c>
      <c r="AN36" s="2" t="n">
        <f aca="false">IF(O36="exact",1,0)</f>
        <v>1</v>
      </c>
      <c r="AO36" s="2" t="n">
        <f aca="false">IF(T36="ja",1,0)</f>
        <v>1</v>
      </c>
      <c r="AP36" s="2" t="n">
        <f aca="false">IF(U36="ja",1,0)</f>
        <v>0</v>
      </c>
      <c r="AQ36" s="2" t="n">
        <f aca="false">IF(V36="ja",1,0)</f>
        <v>0</v>
      </c>
      <c r="AR36" s="2" t="n">
        <f aca="false">IF(W36="Bennett",1,IF(W36="meting",0.5,0))</f>
        <v>0.5</v>
      </c>
      <c r="AS36" s="2" t="n">
        <f aca="false">IF(X36="ja",1,0)</f>
        <v>1</v>
      </c>
      <c r="AT36" s="2" t="n">
        <f aca="false">Z36/5</f>
        <v>0.6</v>
      </c>
      <c r="AU36" s="2" t="n">
        <f aca="false">AA36/5</f>
        <v>1</v>
      </c>
    </row>
    <row r="37" customFormat="false" ht="15" hidden="false" customHeight="false" outlineLevel="0" collapsed="false">
      <c r="A37" s="2" t="s">
        <v>622</v>
      </c>
      <c r="B37" s="5" t="s">
        <v>623</v>
      </c>
      <c r="C37" s="6" t="s">
        <v>624</v>
      </c>
      <c r="D37" s="6" t="s">
        <v>152</v>
      </c>
      <c r="E37" s="6" t="n">
        <v>1994</v>
      </c>
      <c r="F37" s="5" t="s">
        <v>625</v>
      </c>
      <c r="G37" s="6" t="s">
        <v>467</v>
      </c>
      <c r="H37" s="6" t="s">
        <v>76</v>
      </c>
      <c r="I37" s="6" t="n">
        <v>0</v>
      </c>
      <c r="J37" s="6" t="s">
        <v>90</v>
      </c>
      <c r="K37" s="6" t="n">
        <v>4</v>
      </c>
      <c r="L37" s="6" t="s">
        <v>73</v>
      </c>
      <c r="M37" s="6" t="s">
        <v>76</v>
      </c>
      <c r="N37" s="6" t="s">
        <v>76</v>
      </c>
      <c r="O37" s="6" t="s">
        <v>77</v>
      </c>
      <c r="P37" s="6" t="s">
        <v>78</v>
      </c>
      <c r="Q37" s="6" t="s">
        <v>626</v>
      </c>
      <c r="R37" s="6" t="s">
        <v>80</v>
      </c>
      <c r="S37" s="6" t="s">
        <v>299</v>
      </c>
      <c r="T37" s="6" t="s">
        <v>76</v>
      </c>
      <c r="U37" s="6" t="s">
        <v>73</v>
      </c>
      <c r="V37" s="6" t="s">
        <v>76</v>
      </c>
      <c r="W37" s="6" t="s">
        <v>90</v>
      </c>
      <c r="X37" s="6" t="s">
        <v>76</v>
      </c>
      <c r="Y37" s="6" t="s">
        <v>153</v>
      </c>
      <c r="Z37" s="6" t="n">
        <v>2</v>
      </c>
      <c r="AA37" s="6" t="n">
        <v>5</v>
      </c>
      <c r="AB37" s="6" t="s">
        <v>354</v>
      </c>
      <c r="AC37" s="6" t="s">
        <v>354</v>
      </c>
      <c r="AD37" s="6" t="s">
        <v>76</v>
      </c>
      <c r="AE37" s="6" t="s">
        <v>76</v>
      </c>
      <c r="AF37" s="5" t="s">
        <v>627</v>
      </c>
      <c r="AG37" s="3"/>
      <c r="AH37" s="2" t="n">
        <f aca="false">IF(H37="ja",1,0)</f>
        <v>0</v>
      </c>
      <c r="AI37" s="2" t="n">
        <f aca="false">IF(J37="schoon",1,IF(J37="vuil",0.5,0))</f>
        <v>0</v>
      </c>
      <c r="AJ37" s="2" t="n">
        <f aca="false">K37/5</f>
        <v>0.8</v>
      </c>
      <c r="AK37" s="2" t="n">
        <f aca="false">IF(L37="ja",1,0)</f>
        <v>1</v>
      </c>
      <c r="AL37" s="2" t="n">
        <f aca="false">IF(M37="ja",1,0)</f>
        <v>0</v>
      </c>
      <c r="AM37" s="2" t="n">
        <f aca="false">IF(N37="ja",1,0)</f>
        <v>0</v>
      </c>
      <c r="AN37" s="2" t="n">
        <f aca="false">IF(O37="exact",1,0)</f>
        <v>1</v>
      </c>
      <c r="AO37" s="2" t="n">
        <f aca="false">IF(T37="ja",1,0)</f>
        <v>0</v>
      </c>
      <c r="AP37" s="2" t="n">
        <f aca="false">IF(U37="ja",1,0)</f>
        <v>1</v>
      </c>
      <c r="AQ37" s="2" t="n">
        <f aca="false">IF(V37="ja",1,0)</f>
        <v>0</v>
      </c>
      <c r="AR37" s="2" t="n">
        <f aca="false">IF(W37="Bennett",1,IF(W37="meting",0.5,0))</f>
        <v>0</v>
      </c>
      <c r="AS37" s="2" t="n">
        <f aca="false">IF(X37="ja",1,0)</f>
        <v>0</v>
      </c>
      <c r="AT37" s="2" t="n">
        <f aca="false">Z37/5</f>
        <v>0.4</v>
      </c>
      <c r="AU37" s="2" t="n">
        <f aca="false">AA37/5</f>
        <v>1</v>
      </c>
    </row>
    <row r="38" customFormat="false" ht="26.85" hidden="false" customHeight="false" outlineLevel="0" collapsed="false">
      <c r="A38" s="2" t="s">
        <v>628</v>
      </c>
      <c r="B38" s="5" t="s">
        <v>629</v>
      </c>
      <c r="C38" s="6" t="s">
        <v>282</v>
      </c>
      <c r="D38" s="6" t="s">
        <v>69</v>
      </c>
      <c r="E38" s="6" t="n">
        <v>2021</v>
      </c>
      <c r="F38" s="5" t="s">
        <v>630</v>
      </c>
      <c r="G38" s="6" t="s">
        <v>284</v>
      </c>
      <c r="H38" s="6" t="s">
        <v>73</v>
      </c>
      <c r="I38" s="6" t="n">
        <v>2</v>
      </c>
      <c r="J38" s="6" t="s">
        <v>75</v>
      </c>
      <c r="K38" s="6" t="n">
        <v>3</v>
      </c>
      <c r="L38" s="6" t="s">
        <v>73</v>
      </c>
      <c r="M38" s="6" t="s">
        <v>76</v>
      </c>
      <c r="N38" s="6" t="s">
        <v>76</v>
      </c>
      <c r="O38" s="6" t="s">
        <v>77</v>
      </c>
      <c r="P38" s="6" t="s">
        <v>78</v>
      </c>
      <c r="Q38" s="6" t="s">
        <v>631</v>
      </c>
      <c r="R38" s="6" t="s">
        <v>80</v>
      </c>
      <c r="S38" s="6" t="s">
        <v>80</v>
      </c>
      <c r="T38" s="6" t="s">
        <v>73</v>
      </c>
      <c r="U38" s="6" t="s">
        <v>76</v>
      </c>
      <c r="V38" s="6" t="s">
        <v>73</v>
      </c>
      <c r="W38" s="6" t="s">
        <v>81</v>
      </c>
      <c r="X38" s="6" t="s">
        <v>76</v>
      </c>
      <c r="Y38" s="6" t="s">
        <v>82</v>
      </c>
      <c r="Z38" s="6" t="n">
        <v>3</v>
      </c>
      <c r="AA38" s="6" t="n">
        <v>4</v>
      </c>
      <c r="AB38" s="6" t="n">
        <v>40</v>
      </c>
      <c r="AC38" s="6" t="n">
        <v>500</v>
      </c>
      <c r="AD38" s="6" t="s">
        <v>76</v>
      </c>
      <c r="AE38" s="6" t="s">
        <v>73</v>
      </c>
      <c r="AF38" s="5" t="s">
        <v>632</v>
      </c>
      <c r="AG38" s="3"/>
      <c r="AH38" s="2" t="n">
        <f aca="false">IF(H38="ja",1,0)</f>
        <v>1</v>
      </c>
      <c r="AI38" s="2" t="n">
        <f aca="false">IF(J38="schoon",1,IF(J38="vuil",0.5,0))</f>
        <v>1</v>
      </c>
      <c r="AJ38" s="2" t="n">
        <f aca="false">K38/5</f>
        <v>0.6</v>
      </c>
      <c r="AK38" s="2" t="n">
        <f aca="false">IF(L38="ja",1,0)</f>
        <v>1</v>
      </c>
      <c r="AL38" s="2" t="n">
        <f aca="false">IF(M38="ja",1,0)</f>
        <v>0</v>
      </c>
      <c r="AM38" s="2" t="n">
        <f aca="false">IF(N38="ja",1,0)</f>
        <v>0</v>
      </c>
      <c r="AN38" s="2" t="n">
        <f aca="false">IF(O38="exact",1,0)</f>
        <v>1</v>
      </c>
      <c r="AO38" s="2" t="n">
        <f aca="false">IF(T38="ja",1,0)</f>
        <v>1</v>
      </c>
      <c r="AP38" s="2" t="n">
        <f aca="false">IF(U38="ja",1,0)</f>
        <v>0</v>
      </c>
      <c r="AQ38" s="2" t="n">
        <f aca="false">IF(V38="ja",1,0)</f>
        <v>1</v>
      </c>
      <c r="AR38" s="2" t="n">
        <f aca="false">IF(W38="Bennett",1,IF(W38="meting",0.5,0))</f>
        <v>1</v>
      </c>
      <c r="AS38" s="2" t="n">
        <f aca="false">IF(X38="ja",1,0)</f>
        <v>0</v>
      </c>
      <c r="AT38" s="2" t="n">
        <f aca="false">Z38/5</f>
        <v>0.6</v>
      </c>
      <c r="AU38" s="2" t="n">
        <f aca="false">AA38/5</f>
        <v>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8" topLeftCell="C19" activePane="bottomRight" state="frozen"/>
      <selection pane="topLeft" activeCell="A1" activeCellId="0" sqref="A1"/>
      <selection pane="topRight" activeCell="C1" activeCellId="0" sqref="C1"/>
      <selection pane="bottomLeft" activeCell="A19" activeCellId="0" sqref="A19"/>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2" min="2" style="0" width="46"/>
    <col collapsed="false" customWidth="true" hidden="false" outlineLevel="0" max="3" min="3" style="0" width="12"/>
    <col collapsed="false" customWidth="true" hidden="false" outlineLevel="0" max="17" min="4" style="0" width="10"/>
  </cols>
  <sheetData>
    <row r="1" customFormat="false" ht="15" hidden="false" customHeight="false" outlineLevel="0" collapsed="false">
      <c r="A1" s="1" t="s">
        <v>633</v>
      </c>
      <c r="B1" s="3"/>
      <c r="C1" s="3"/>
      <c r="D1" s="3"/>
      <c r="E1" s="3"/>
      <c r="F1" s="3"/>
      <c r="G1" s="3"/>
      <c r="H1" s="3"/>
      <c r="I1" s="3"/>
      <c r="J1" s="3"/>
      <c r="K1" s="3"/>
      <c r="L1" s="3"/>
      <c r="M1" s="3"/>
      <c r="N1" s="3"/>
      <c r="O1" s="3"/>
      <c r="P1" s="3"/>
      <c r="Q1" s="3"/>
    </row>
    <row r="2" customFormat="false" ht="15" hidden="false" customHeight="false" outlineLevel="0" collapsed="false">
      <c r="A2" s="3"/>
      <c r="B2" s="3"/>
      <c r="C2" s="3"/>
      <c r="D2" s="3"/>
      <c r="E2" s="3"/>
      <c r="F2" s="3"/>
      <c r="G2" s="3"/>
      <c r="H2" s="3"/>
      <c r="I2" s="3"/>
      <c r="J2" s="3"/>
      <c r="K2" s="3"/>
      <c r="L2" s="3"/>
      <c r="M2" s="3"/>
      <c r="N2" s="3"/>
      <c r="O2" s="3"/>
      <c r="P2" s="3"/>
      <c r="Q2" s="3"/>
    </row>
    <row r="3" customFormat="false" ht="26.85" hidden="false" customHeight="false" outlineLevel="0" collapsed="false">
      <c r="A3" s="4" t="s">
        <v>634</v>
      </c>
      <c r="B3" s="4" t="s">
        <v>635</v>
      </c>
      <c r="C3" s="3"/>
      <c r="D3" s="3"/>
      <c r="E3" s="3"/>
      <c r="F3" s="3"/>
      <c r="G3" s="3"/>
      <c r="H3" s="3"/>
      <c r="I3" s="3"/>
      <c r="J3" s="3"/>
      <c r="K3" s="3"/>
      <c r="L3" s="3"/>
      <c r="M3" s="3"/>
      <c r="N3" s="3"/>
      <c r="O3" s="3"/>
      <c r="P3" s="3"/>
      <c r="Q3" s="3"/>
    </row>
    <row r="4" customFormat="false" ht="15" hidden="false" customHeight="false" outlineLevel="0" collapsed="false">
      <c r="A4" s="2" t="s">
        <v>636</v>
      </c>
      <c r="B4" s="7" t="n">
        <v>3</v>
      </c>
      <c r="C4" s="3"/>
      <c r="D4" s="3"/>
      <c r="E4" s="3"/>
      <c r="F4" s="3"/>
      <c r="G4" s="3"/>
      <c r="H4" s="3"/>
      <c r="I4" s="3"/>
      <c r="J4" s="3"/>
      <c r="K4" s="3"/>
      <c r="L4" s="3"/>
      <c r="M4" s="3"/>
      <c r="N4" s="3"/>
      <c r="O4" s="3"/>
      <c r="P4" s="3"/>
      <c r="Q4" s="3"/>
    </row>
    <row r="5" customFormat="false" ht="15" hidden="false" customHeight="false" outlineLevel="0" collapsed="false">
      <c r="A5" s="2" t="s">
        <v>637</v>
      </c>
      <c r="B5" s="7" t="n">
        <v>3</v>
      </c>
      <c r="C5" s="3"/>
      <c r="D5" s="3"/>
      <c r="E5" s="3"/>
      <c r="F5" s="3"/>
      <c r="G5" s="3"/>
      <c r="H5" s="3"/>
      <c r="I5" s="3"/>
      <c r="J5" s="3"/>
      <c r="K5" s="3"/>
      <c r="L5" s="3"/>
      <c r="M5" s="3"/>
      <c r="N5" s="3"/>
      <c r="O5" s="3"/>
      <c r="P5" s="3"/>
      <c r="Q5" s="3"/>
    </row>
    <row r="6" customFormat="false" ht="15" hidden="false" customHeight="false" outlineLevel="0" collapsed="false">
      <c r="A6" s="2" t="s">
        <v>638</v>
      </c>
      <c r="B6" s="7" t="n">
        <v>2</v>
      </c>
      <c r="C6" s="3"/>
      <c r="D6" s="3"/>
      <c r="E6" s="3"/>
      <c r="F6" s="3"/>
      <c r="G6" s="3"/>
      <c r="H6" s="3"/>
      <c r="I6" s="3"/>
      <c r="J6" s="3"/>
      <c r="K6" s="3"/>
      <c r="L6" s="3"/>
      <c r="M6" s="3"/>
      <c r="N6" s="3"/>
      <c r="O6" s="3"/>
      <c r="P6" s="3"/>
      <c r="Q6" s="3"/>
    </row>
    <row r="7" customFormat="false" ht="15" hidden="false" customHeight="false" outlineLevel="0" collapsed="false">
      <c r="A7" s="2" t="s">
        <v>639</v>
      </c>
      <c r="B7" s="7" t="n">
        <v>3</v>
      </c>
      <c r="C7" s="3"/>
      <c r="D7" s="3"/>
      <c r="E7" s="3"/>
      <c r="F7" s="3"/>
      <c r="G7" s="3"/>
      <c r="H7" s="3"/>
      <c r="I7" s="3"/>
      <c r="J7" s="3"/>
      <c r="K7" s="3"/>
      <c r="L7" s="3"/>
      <c r="M7" s="3"/>
      <c r="N7" s="3"/>
      <c r="O7" s="3"/>
      <c r="P7" s="3"/>
      <c r="Q7" s="3"/>
    </row>
    <row r="8" customFormat="false" ht="15" hidden="false" customHeight="false" outlineLevel="0" collapsed="false">
      <c r="A8" s="2" t="s">
        <v>640</v>
      </c>
      <c r="B8" s="7" t="n">
        <v>1</v>
      </c>
      <c r="C8" s="3"/>
      <c r="D8" s="3"/>
      <c r="E8" s="3"/>
      <c r="F8" s="3"/>
      <c r="G8" s="3"/>
      <c r="H8" s="3"/>
      <c r="I8" s="3"/>
      <c r="J8" s="3"/>
      <c r="K8" s="3"/>
      <c r="L8" s="3"/>
      <c r="M8" s="3"/>
      <c r="N8" s="3"/>
      <c r="O8" s="3"/>
      <c r="P8" s="3"/>
      <c r="Q8" s="3"/>
    </row>
    <row r="9" customFormat="false" ht="15" hidden="false" customHeight="false" outlineLevel="0" collapsed="false">
      <c r="A9" s="2" t="s">
        <v>641</v>
      </c>
      <c r="B9" s="7" t="n">
        <v>1</v>
      </c>
      <c r="C9" s="3"/>
      <c r="D9" s="3"/>
      <c r="E9" s="3"/>
      <c r="F9" s="3"/>
      <c r="G9" s="3"/>
      <c r="H9" s="3"/>
      <c r="I9" s="3"/>
      <c r="J9" s="3"/>
      <c r="K9" s="3"/>
      <c r="L9" s="3"/>
      <c r="M9" s="3"/>
      <c r="N9" s="3"/>
      <c r="O9" s="3"/>
      <c r="P9" s="3"/>
      <c r="Q9" s="3"/>
    </row>
    <row r="10" customFormat="false" ht="15" hidden="false" customHeight="false" outlineLevel="0" collapsed="false">
      <c r="A10" s="2" t="s">
        <v>642</v>
      </c>
      <c r="B10" s="7" t="n">
        <v>1</v>
      </c>
      <c r="C10" s="3"/>
      <c r="D10" s="3"/>
      <c r="E10" s="3"/>
      <c r="F10" s="3"/>
      <c r="G10" s="3"/>
      <c r="H10" s="3"/>
      <c r="I10" s="3"/>
      <c r="J10" s="3"/>
      <c r="K10" s="3"/>
      <c r="L10" s="3"/>
      <c r="M10" s="3"/>
      <c r="N10" s="3"/>
      <c r="O10" s="3"/>
      <c r="P10" s="3"/>
      <c r="Q10" s="3"/>
    </row>
    <row r="11" customFormat="false" ht="15" hidden="false" customHeight="false" outlineLevel="0" collapsed="false">
      <c r="A11" s="2" t="s">
        <v>643</v>
      </c>
      <c r="B11" s="7" t="n">
        <v>2</v>
      </c>
      <c r="C11" s="3"/>
      <c r="D11" s="3"/>
      <c r="E11" s="3"/>
      <c r="F11" s="3"/>
      <c r="G11" s="3"/>
      <c r="H11" s="3"/>
      <c r="I11" s="3"/>
      <c r="J11" s="3"/>
      <c r="K11" s="3"/>
      <c r="L11" s="3"/>
      <c r="M11" s="3"/>
      <c r="N11" s="3"/>
      <c r="O11" s="3"/>
      <c r="P11" s="3"/>
      <c r="Q11" s="3"/>
    </row>
    <row r="12" customFormat="false" ht="15" hidden="false" customHeight="false" outlineLevel="0" collapsed="false">
      <c r="A12" s="2" t="s">
        <v>644</v>
      </c>
      <c r="B12" s="7" t="n">
        <v>1</v>
      </c>
      <c r="C12" s="3"/>
      <c r="D12" s="3"/>
      <c r="E12" s="3"/>
      <c r="F12" s="3"/>
      <c r="G12" s="3"/>
      <c r="H12" s="3"/>
      <c r="I12" s="3"/>
      <c r="J12" s="3"/>
      <c r="K12" s="3"/>
      <c r="L12" s="3"/>
      <c r="M12" s="3"/>
      <c r="N12" s="3"/>
      <c r="O12" s="3"/>
      <c r="P12" s="3"/>
      <c r="Q12" s="3"/>
    </row>
    <row r="13" customFormat="false" ht="15" hidden="false" customHeight="false" outlineLevel="0" collapsed="false">
      <c r="A13" s="2" t="s">
        <v>645</v>
      </c>
      <c r="B13" s="7" t="n">
        <v>1</v>
      </c>
      <c r="C13" s="3"/>
      <c r="D13" s="3"/>
      <c r="E13" s="3"/>
      <c r="F13" s="3"/>
      <c r="G13" s="3"/>
      <c r="H13" s="3"/>
      <c r="I13" s="3"/>
      <c r="J13" s="3"/>
      <c r="K13" s="3"/>
      <c r="L13" s="3"/>
      <c r="M13" s="3"/>
      <c r="N13" s="3"/>
      <c r="O13" s="3"/>
      <c r="P13" s="3"/>
      <c r="Q13" s="3"/>
    </row>
    <row r="14" customFormat="false" ht="15" hidden="false" customHeight="false" outlineLevel="0" collapsed="false">
      <c r="A14" s="2" t="s">
        <v>646</v>
      </c>
      <c r="B14" s="7" t="n">
        <v>1</v>
      </c>
      <c r="C14" s="3"/>
      <c r="D14" s="3"/>
      <c r="E14" s="3"/>
      <c r="F14" s="3"/>
      <c r="G14" s="3"/>
      <c r="H14" s="3"/>
      <c r="I14" s="3"/>
      <c r="J14" s="3"/>
      <c r="K14" s="3"/>
      <c r="L14" s="3"/>
      <c r="M14" s="3"/>
      <c r="N14" s="3"/>
      <c r="O14" s="3"/>
      <c r="P14" s="3"/>
      <c r="Q14" s="3"/>
    </row>
    <row r="15" customFormat="false" ht="15" hidden="false" customHeight="false" outlineLevel="0" collapsed="false">
      <c r="A15" s="2" t="s">
        <v>647</v>
      </c>
      <c r="B15" s="7" t="n">
        <v>1</v>
      </c>
      <c r="C15" s="3"/>
      <c r="D15" s="3"/>
      <c r="E15" s="3"/>
      <c r="F15" s="3"/>
      <c r="G15" s="3"/>
      <c r="H15" s="3"/>
      <c r="I15" s="3"/>
      <c r="J15" s="3"/>
      <c r="K15" s="3"/>
      <c r="L15" s="3"/>
      <c r="M15" s="3"/>
      <c r="N15" s="3"/>
      <c r="O15" s="3"/>
      <c r="P15" s="3"/>
      <c r="Q15" s="3"/>
    </row>
    <row r="16" customFormat="false" ht="15" hidden="false" customHeight="false" outlineLevel="0" collapsed="false">
      <c r="A16" s="1" t="s">
        <v>648</v>
      </c>
      <c r="B16" s="2" t="n">
        <f aca="false">SUM(B4:B15)</f>
        <v>20</v>
      </c>
      <c r="C16" s="3"/>
      <c r="D16" s="3"/>
      <c r="E16" s="3"/>
      <c r="F16" s="3"/>
      <c r="G16" s="3"/>
      <c r="H16" s="3"/>
      <c r="I16" s="3"/>
      <c r="J16" s="3"/>
      <c r="K16" s="3"/>
      <c r="L16" s="3"/>
      <c r="M16" s="3"/>
      <c r="N16" s="3"/>
      <c r="O16" s="3"/>
      <c r="P16" s="3"/>
      <c r="Q16" s="3"/>
    </row>
    <row r="17" customFormat="false" ht="15" hidden="false" customHeight="false" outlineLevel="0" collapsed="false">
      <c r="A17" s="3"/>
      <c r="B17" s="3"/>
      <c r="C17" s="3"/>
      <c r="D17" s="3"/>
      <c r="E17" s="3"/>
      <c r="F17" s="3"/>
      <c r="G17" s="3"/>
      <c r="H17" s="3"/>
      <c r="I17" s="3"/>
      <c r="J17" s="3"/>
      <c r="K17" s="3"/>
      <c r="L17" s="3"/>
      <c r="M17" s="3"/>
      <c r="N17" s="3"/>
      <c r="O17" s="3"/>
      <c r="P17" s="3"/>
      <c r="Q17" s="3"/>
    </row>
    <row r="18" customFormat="false" ht="39.55" hidden="false" customHeight="false" outlineLevel="0" collapsed="false">
      <c r="A18" s="4" t="s">
        <v>20</v>
      </c>
      <c r="B18" s="4" t="s">
        <v>21</v>
      </c>
      <c r="C18" s="4" t="s">
        <v>649</v>
      </c>
      <c r="D18" s="4" t="s">
        <v>650</v>
      </c>
      <c r="E18" s="4" t="s">
        <v>651</v>
      </c>
      <c r="F18" s="4" t="s">
        <v>652</v>
      </c>
      <c r="G18" s="4" t="s">
        <v>653</v>
      </c>
      <c r="H18" s="4" t="s">
        <v>654</v>
      </c>
      <c r="I18" s="4" t="s">
        <v>655</v>
      </c>
      <c r="J18" s="4" t="s">
        <v>656</v>
      </c>
      <c r="K18" s="4" t="s">
        <v>657</v>
      </c>
      <c r="L18" s="4" t="s">
        <v>658</v>
      </c>
      <c r="M18" s="4" t="s">
        <v>659</v>
      </c>
      <c r="N18" s="4" t="s">
        <v>660</v>
      </c>
      <c r="O18" s="4" t="s">
        <v>661</v>
      </c>
      <c r="P18" s="4" t="s">
        <v>662</v>
      </c>
      <c r="Q18" s="4" t="s">
        <v>663</v>
      </c>
    </row>
    <row r="19" customFormat="false" ht="15" hidden="false" customHeight="false" outlineLevel="0" collapsed="false">
      <c r="A19" s="8" t="str">
        <f aca="false">Ongebruikt!A4</f>
        <v>U01</v>
      </c>
      <c r="B19" s="8" t="str">
        <f aca="false">Ongebruikt!B4</f>
        <v>Half-delta divsteps (Bernstein-Yang hddivsteps)</v>
      </c>
      <c r="C19" s="2" t="s">
        <v>664</v>
      </c>
      <c r="D19" s="2" t="n">
        <f aca="false">IF(ISNUMBER(Ongebruikt!AB4),MAX(-1,MIN(1,-Ongebruikt!AB4/10)),0)</f>
        <v>-1</v>
      </c>
      <c r="E19" s="2" t="n">
        <f aca="false">IF(ISNUMBER(Ongebruikt!AC4),MAX(-1,MIN(1,-Ongebruikt!AC4/200)),0)</f>
        <v>-1</v>
      </c>
      <c r="F19" s="2" t="n">
        <f aca="false">IF(Ongebruikt!O4="exact",1,0)</f>
        <v>1</v>
      </c>
      <c r="G19" s="2" t="n">
        <f aca="false">IF(Ongebruikt!T4="ja",1,0)</f>
        <v>1</v>
      </c>
      <c r="H19" s="2" t="n">
        <f aca="false">Ongebruikt!AA4/5</f>
        <v>0.8</v>
      </c>
      <c r="I19" s="2" t="n">
        <f aca="false">1-Ongebruikt!Z4/5</f>
        <v>0.4</v>
      </c>
      <c r="J19" s="8" t="n">
        <f aca="false">INDEX(Gelijkheid!$C:$C,MATCH(A19,Gelijkheid!$A:$A,0))</f>
        <v>0.0142857142857142</v>
      </c>
      <c r="K19" s="9" t="n">
        <v>1</v>
      </c>
      <c r="L19" s="9" t="n">
        <v>0.3</v>
      </c>
      <c r="M19" s="9" t="n">
        <v>0</v>
      </c>
      <c r="N19" s="9" t="n">
        <v>0.5</v>
      </c>
      <c r="O19" s="9" t="n">
        <v>1</v>
      </c>
      <c r="P19" s="2" t="n">
        <f aca="false">($B$4*D19+$B$5*E19+$B$6*F19+$B$7*G19+$B$8*H19+$B$9*I19+$B$10*J19+$B$11*K19+$B$12*L19+$B$13*M19+$B$14*N19+$B$15*O19)/$B$16</f>
        <v>0.200714285714286</v>
      </c>
      <c r="Q19" s="2" t="n">
        <f aca="false">RANK(P19,$P$19:$P$89)</f>
        <v>60</v>
      </c>
    </row>
    <row r="20" customFormat="false" ht="15" hidden="false" customHeight="false" outlineLevel="0" collapsed="false">
      <c r="A20" s="8" t="str">
        <f aca="false">Ongebruikt!A5</f>
        <v>U02</v>
      </c>
      <c r="B20" s="8" t="str">
        <f aca="false">Ongebruikt!B5</f>
        <v>safegcd jump matrices (62-step batches from low bits)</v>
      </c>
      <c r="C20" s="2" t="s">
        <v>664</v>
      </c>
      <c r="D20" s="2" t="n">
        <f aca="false">IF(ISNUMBER(Ongebruikt!AB5),MAX(-1,MIN(1,-Ongebruikt!AB5/10)),0)</f>
        <v>-1</v>
      </c>
      <c r="E20" s="2" t="n">
        <f aca="false">IF(ISNUMBER(Ongebruikt!AC5),MAX(-1,MIN(1,-Ongebruikt!AC5/200)),0)</f>
        <v>-1</v>
      </c>
      <c r="F20" s="2" t="n">
        <f aca="false">IF(Ongebruikt!O5="exact",1,0)</f>
        <v>1</v>
      </c>
      <c r="G20" s="2" t="n">
        <f aca="false">IF(Ongebruikt!T5="ja",1,0)</f>
        <v>1</v>
      </c>
      <c r="H20" s="2" t="n">
        <f aca="false">Ongebruikt!AA5/5</f>
        <v>0.6</v>
      </c>
      <c r="I20" s="2" t="n">
        <f aca="false">1-Ongebruikt!Z5/5</f>
        <v>0.2</v>
      </c>
      <c r="J20" s="8" t="n">
        <f aca="false">INDEX(Gelijkheid!$C:$C,MATCH(A20,Gelijkheid!$A:$A,0))</f>
        <v>0.0142857142857142</v>
      </c>
      <c r="K20" s="9" t="n">
        <v>1</v>
      </c>
      <c r="L20" s="9" t="n">
        <v>0.3</v>
      </c>
      <c r="M20" s="9" t="n">
        <v>0</v>
      </c>
      <c r="N20" s="9" t="n">
        <v>0.5</v>
      </c>
      <c r="O20" s="9" t="n">
        <v>0</v>
      </c>
      <c r="P20" s="2" t="n">
        <f aca="false">($B$4*D20+$B$5*E20+$B$6*F20+$B$7*G20+$B$8*H20+$B$9*I20+$B$10*J20+$B$11*K20+$B$12*L20+$B$13*M20+$B$14*N20+$B$15*O20)/$B$16</f>
        <v>0.130714285714286</v>
      </c>
      <c r="Q20" s="2" t="n">
        <f aca="false">RANK(P20,$P$19:$P$89)</f>
        <v>69</v>
      </c>
    </row>
    <row r="21" customFormat="false" ht="15" hidden="false" customHeight="false" outlineLevel="0" collapsed="false">
      <c r="A21" s="8" t="str">
        <f aca="false">Ongebruikt!A6</f>
        <v>U03</v>
      </c>
      <c r="B21" s="8" t="str">
        <f aca="false">Ongebruikt!B6</f>
        <v>k-ary GCD with small-multiplier table (Sorenson/Weber)</v>
      </c>
      <c r="C21" s="2" t="s">
        <v>664</v>
      </c>
      <c r="D21" s="2" t="n">
        <f aca="false">IF(ISNUMBER(Ongebruikt!AB6),MAX(-1,MIN(1,-Ongebruikt!AB6/10)),0)</f>
        <v>-1</v>
      </c>
      <c r="E21" s="2" t="n">
        <f aca="false">IF(ISNUMBER(Ongebruikt!AC6),MAX(-1,MIN(1,-Ongebruikt!AC6/200)),0)</f>
        <v>-1</v>
      </c>
      <c r="F21" s="2" t="n">
        <f aca="false">IF(Ongebruikt!O6="exact",1,0)</f>
        <v>1</v>
      </c>
      <c r="G21" s="2" t="n">
        <f aca="false">IF(Ongebruikt!T6="ja",1,0)</f>
        <v>1</v>
      </c>
      <c r="H21" s="2" t="n">
        <f aca="false">Ongebruikt!AA6/5</f>
        <v>0.4</v>
      </c>
      <c r="I21" s="2" t="n">
        <f aca="false">1-Ongebruikt!Z6/5</f>
        <v>0.2</v>
      </c>
      <c r="J21" s="8" t="n">
        <f aca="false">INDEX(Gelijkheid!$C:$C,MATCH(A21,Gelijkheid!$A:$A,0))</f>
        <v>0.1</v>
      </c>
      <c r="K21" s="9" t="n">
        <v>1</v>
      </c>
      <c r="L21" s="9" t="n">
        <v>0.3</v>
      </c>
      <c r="M21" s="9" t="n">
        <v>0</v>
      </c>
      <c r="N21" s="9" t="n">
        <v>0.5</v>
      </c>
      <c r="O21" s="9" t="n">
        <v>0</v>
      </c>
      <c r="P21" s="2" t="n">
        <f aca="false">($B$4*D21+$B$5*E21+$B$6*F21+$B$7*G21+$B$8*H21+$B$9*I21+$B$10*J21+$B$11*K21+$B$12*L21+$B$13*M21+$B$14*N21+$B$15*O21)/$B$16</f>
        <v>0.125</v>
      </c>
      <c r="Q21" s="2" t="n">
        <f aca="false">RANK(P21,$P$19:$P$89)</f>
        <v>70</v>
      </c>
    </row>
    <row r="22" customFormat="false" ht="15" hidden="false" customHeight="false" outlineLevel="0" collapsed="false">
      <c r="A22" s="8" t="str">
        <f aca="false">Ongebruikt!A7</f>
        <v>U04</v>
      </c>
      <c r="B22" s="8" t="str">
        <f aca="false">Ongebruikt!B7</f>
        <v>Lehmer / half-GCD (Schonhage, Stehle-Zimmermann)</v>
      </c>
      <c r="C22" s="2" t="s">
        <v>664</v>
      </c>
      <c r="D22" s="2" t="n">
        <f aca="false">IF(ISNUMBER(Ongebruikt!AB7),MAX(-1,MIN(1,-Ongebruikt!AB7/10)),0)</f>
        <v>-1</v>
      </c>
      <c r="E22" s="2" t="n">
        <f aca="false">IF(ISNUMBER(Ongebruikt!AC7),MAX(-1,MIN(1,-Ongebruikt!AC7/200)),0)</f>
        <v>-1</v>
      </c>
      <c r="F22" s="2" t="n">
        <f aca="false">IF(Ongebruikt!O7="exact",1,0)</f>
        <v>1</v>
      </c>
      <c r="G22" s="2" t="n">
        <f aca="false">IF(Ongebruikt!T7="ja",1,0)</f>
        <v>1</v>
      </c>
      <c r="H22" s="2" t="n">
        <f aca="false">Ongebruikt!AA7/5</f>
        <v>0.4</v>
      </c>
      <c r="I22" s="2" t="n">
        <f aca="false">1-Ongebruikt!Z7/5</f>
        <v>0</v>
      </c>
      <c r="J22" s="8" t="n">
        <f aca="false">INDEX(Gelijkheid!$C:$C,MATCH(A22,Gelijkheid!$A:$A,0))</f>
        <v>0.0571428571428572</v>
      </c>
      <c r="K22" s="9" t="n">
        <v>1</v>
      </c>
      <c r="L22" s="9" t="n">
        <v>0.3</v>
      </c>
      <c r="M22" s="9" t="n">
        <v>0</v>
      </c>
      <c r="N22" s="9" t="n">
        <v>0.5</v>
      </c>
      <c r="O22" s="9" t="n">
        <v>0</v>
      </c>
      <c r="P22" s="2" t="n">
        <f aca="false">($B$4*D22+$B$5*E22+$B$6*F22+$B$7*G22+$B$8*H22+$B$9*I22+$B$10*J22+$B$11*K22+$B$12*L22+$B$13*M22+$B$14*N22+$B$15*O22)/$B$16</f>
        <v>0.112857142857143</v>
      </c>
      <c r="Q22" s="2" t="n">
        <f aca="false">RANK(P22,$P$19:$P$89)</f>
        <v>71</v>
      </c>
    </row>
    <row r="23" customFormat="false" ht="15" hidden="false" customHeight="false" outlineLevel="0" collapsed="false">
      <c r="A23" s="8" t="str">
        <f aca="false">Ongebruikt!A8</f>
        <v>U05</v>
      </c>
      <c r="B23" s="8" t="str">
        <f aca="false">Ongebruikt!B8</f>
        <v>Extended Euclid with quotients + register sharing (Proos-Zalka)</v>
      </c>
      <c r="C23" s="2" t="s">
        <v>664</v>
      </c>
      <c r="D23" s="2" t="n">
        <f aca="false">IF(ISNUMBER(Ongebruikt!AB8),MAX(-1,MIN(1,-Ongebruikt!AB8/10)),0)</f>
        <v>-1</v>
      </c>
      <c r="E23" s="2" t="n">
        <f aca="false">IF(ISNUMBER(Ongebruikt!AC8),MAX(-1,MIN(1,-Ongebruikt!AC8/200)),0)</f>
        <v>1</v>
      </c>
      <c r="F23" s="2" t="n">
        <f aca="false">IF(Ongebruikt!O8="exact",1,0)</f>
        <v>1</v>
      </c>
      <c r="G23" s="2" t="n">
        <f aca="false">IF(Ongebruikt!T8="ja",1,0)</f>
        <v>1</v>
      </c>
      <c r="H23" s="2" t="n">
        <f aca="false">Ongebruikt!AA8/5</f>
        <v>0.6</v>
      </c>
      <c r="I23" s="2" t="n">
        <f aca="false">1-Ongebruikt!Z8/5</f>
        <v>0</v>
      </c>
      <c r="J23" s="8" t="n">
        <f aca="false">INDEX(Gelijkheid!$C:$C,MATCH(A23,Gelijkheid!$A:$A,0))</f>
        <v>0.0571428571428572</v>
      </c>
      <c r="K23" s="9" t="n">
        <v>1</v>
      </c>
      <c r="L23" s="9" t="n">
        <v>0.3</v>
      </c>
      <c r="M23" s="9" t="n">
        <v>0</v>
      </c>
      <c r="N23" s="9" t="n">
        <v>0.5</v>
      </c>
      <c r="O23" s="9" t="n">
        <v>0</v>
      </c>
      <c r="P23" s="2" t="n">
        <f aca="false">($B$4*D23+$B$5*E23+$B$6*F23+$B$7*G23+$B$8*H23+$B$9*I23+$B$10*J23+$B$11*K23+$B$12*L23+$B$13*M23+$B$14*N23+$B$15*O23)/$B$16</f>
        <v>0.422857142857143</v>
      </c>
      <c r="Q23" s="2" t="n">
        <f aca="false">RANK(P23,$P$19:$P$89)</f>
        <v>18</v>
      </c>
    </row>
    <row r="24" customFormat="false" ht="15" hidden="false" customHeight="false" outlineLevel="0" collapsed="false">
      <c r="A24" s="8" t="str">
        <f aca="false">Ongebruikt!A9</f>
        <v>U06</v>
      </c>
      <c r="B24" s="8" t="str">
        <f aca="false">Ongebruikt!B9</f>
        <v>Kaliski Montgomery inverse with comparisons</v>
      </c>
      <c r="C24" s="2" t="s">
        <v>664</v>
      </c>
      <c r="D24" s="2" t="n">
        <f aca="false">IF(ISNUMBER(Ongebruikt!AB9),MAX(-1,MIN(1,-Ongebruikt!AB9/10)),0)</f>
        <v>-1</v>
      </c>
      <c r="E24" s="2" t="n">
        <f aca="false">IF(ISNUMBER(Ongebruikt!AC9),MAX(-1,MIN(1,-Ongebruikt!AC9/200)),0)</f>
        <v>-1</v>
      </c>
      <c r="F24" s="2" t="n">
        <f aca="false">IF(Ongebruikt!O9="exact",1,0)</f>
        <v>1</v>
      </c>
      <c r="G24" s="2" t="n">
        <f aca="false">IF(Ongebruikt!T9="ja",1,0)</f>
        <v>1</v>
      </c>
      <c r="H24" s="2" t="n">
        <f aca="false">Ongebruikt!AA9/5</f>
        <v>1</v>
      </c>
      <c r="I24" s="2" t="n">
        <f aca="false">1-Ongebruikt!Z9/5</f>
        <v>0.4</v>
      </c>
      <c r="J24" s="8" t="n">
        <f aca="false">INDEX(Gelijkheid!$C:$C,MATCH(A24,Gelijkheid!$A:$A,0))</f>
        <v>0.0285714285714286</v>
      </c>
      <c r="K24" s="9" t="n">
        <v>1</v>
      </c>
      <c r="L24" s="9" t="n">
        <v>0.3</v>
      </c>
      <c r="M24" s="9" t="n">
        <v>0</v>
      </c>
      <c r="N24" s="9" t="n">
        <v>0.5</v>
      </c>
      <c r="O24" s="9" t="n">
        <v>0</v>
      </c>
      <c r="P24" s="2" t="n">
        <f aca="false">($B$4*D24+$B$5*E24+$B$6*F24+$B$7*G24+$B$8*H24+$B$9*I24+$B$10*J24+$B$11*K24+$B$12*L24+$B$13*M24+$B$14*N24+$B$15*O24)/$B$16</f>
        <v>0.161428571428571</v>
      </c>
      <c r="Q24" s="2" t="n">
        <f aca="false">RANK(P24,$P$19:$P$89)</f>
        <v>68</v>
      </c>
    </row>
    <row r="25" customFormat="false" ht="15" hidden="false" customHeight="false" outlineLevel="0" collapsed="false">
      <c r="A25" s="8" t="str">
        <f aca="false">Ongebruikt!A10</f>
        <v>U07</v>
      </c>
      <c r="B25" s="8" t="str">
        <f aca="false">Ongebruikt!B10</f>
        <v>Fermat inversion a^(p-2) via addition chain</v>
      </c>
      <c r="C25" s="2" t="s">
        <v>664</v>
      </c>
      <c r="D25" s="2" t="n">
        <f aca="false">IF(ISNUMBER(Ongebruikt!AB10),MAX(-1,MIN(1,-Ongebruikt!AB10/10)),0)</f>
        <v>-1</v>
      </c>
      <c r="E25" s="2" t="n">
        <f aca="false">IF(ISNUMBER(Ongebruikt!AC10),MAX(-1,MIN(1,-Ongebruikt!AC10/200)),0)</f>
        <v>-1</v>
      </c>
      <c r="F25" s="2" t="n">
        <f aca="false">IF(Ongebruikt!O10="exact",1,0)</f>
        <v>1</v>
      </c>
      <c r="G25" s="2" t="n">
        <f aca="false">IF(Ongebruikt!T10="ja",1,0)</f>
        <v>1</v>
      </c>
      <c r="H25" s="2" t="n">
        <f aca="false">Ongebruikt!AA10/5</f>
        <v>1</v>
      </c>
      <c r="I25" s="2" t="n">
        <f aca="false">1-Ongebruikt!Z10/5</f>
        <v>0.6</v>
      </c>
      <c r="J25" s="8" t="n">
        <f aca="false">INDEX(Gelijkheid!$C:$C,MATCH(A25,Gelijkheid!$A:$A,0))</f>
        <v>0.0428571428571428</v>
      </c>
      <c r="K25" s="9" t="n">
        <v>1</v>
      </c>
      <c r="L25" s="9" t="n">
        <v>0.3</v>
      </c>
      <c r="M25" s="9" t="n">
        <v>0</v>
      </c>
      <c r="N25" s="9" t="n">
        <v>0.5</v>
      </c>
      <c r="O25" s="9" t="n">
        <v>1</v>
      </c>
      <c r="P25" s="2" t="n">
        <f aca="false">($B$4*D25+$B$5*E25+$B$6*F25+$B$7*G25+$B$8*H25+$B$9*I25+$B$10*J25+$B$11*K25+$B$12*L25+$B$13*M25+$B$14*N25+$B$15*O25)/$B$16</f>
        <v>0.222142857142857</v>
      </c>
      <c r="Q25" s="2" t="n">
        <f aca="false">RANK(P25,$P$19:$P$89)</f>
        <v>58</v>
      </c>
    </row>
    <row r="26" customFormat="false" ht="15" hidden="false" customHeight="false" outlineLevel="0" collapsed="false">
      <c r="A26" s="8" t="str">
        <f aca="false">Ongebruikt!A11</f>
        <v>U08</v>
      </c>
      <c r="B26" s="8" t="str">
        <f aca="false">Ongebruikt!B11</f>
        <v>Spooky pebbling (measurement-based pebble game)</v>
      </c>
      <c r="C26" s="2" t="s">
        <v>664</v>
      </c>
      <c r="D26" s="2" t="n">
        <f aca="false">IF(ISNUMBER(Ongebruikt!AB11),MAX(-1,MIN(1,-Ongebruikt!AB11/10)),0)</f>
        <v>-1</v>
      </c>
      <c r="E26" s="2" t="n">
        <f aca="false">IF(ISNUMBER(Ongebruikt!AC11),MAX(-1,MIN(1,-Ongebruikt!AC11/200)),0)</f>
        <v>0.75</v>
      </c>
      <c r="F26" s="2" t="n">
        <f aca="false">IF(Ongebruikt!O11="exact",1,0)</f>
        <v>1</v>
      </c>
      <c r="G26" s="2" t="n">
        <f aca="false">IF(Ongebruikt!T11="ja",1,0)</f>
        <v>1</v>
      </c>
      <c r="H26" s="2" t="n">
        <f aca="false">Ongebruikt!AA11/5</f>
        <v>0.6</v>
      </c>
      <c r="I26" s="2" t="n">
        <f aca="false">1-Ongebruikt!Z11/5</f>
        <v>0.2</v>
      </c>
      <c r="J26" s="8" t="n">
        <f aca="false">INDEX(Gelijkheid!$C:$C,MATCH(A26,Gelijkheid!$A:$A,0))</f>
        <v>0.114285714285714</v>
      </c>
      <c r="K26" s="9" t="n">
        <v>0.3</v>
      </c>
      <c r="L26" s="9" t="n">
        <v>0</v>
      </c>
      <c r="M26" s="9" t="n">
        <v>1</v>
      </c>
      <c r="N26" s="9" t="n">
        <v>0.5</v>
      </c>
      <c r="O26" s="9" t="n">
        <v>0</v>
      </c>
      <c r="P26" s="2" t="n">
        <f aca="false">($B$4*D26+$B$5*E26+$B$6*F26+$B$7*G26+$B$8*H26+$B$9*I26+$B$10*J26+$B$11*K26+$B$12*L26+$B$13*M26+$B$14*N26+$B$15*O26)/$B$16</f>
        <v>0.363214285714286</v>
      </c>
      <c r="Q26" s="2" t="n">
        <f aca="false">RANK(P26,$P$19:$P$89)</f>
        <v>38</v>
      </c>
    </row>
    <row r="27" customFormat="false" ht="15" hidden="false" customHeight="false" outlineLevel="0" collapsed="false">
      <c r="A27" s="8" t="str">
        <f aca="false">Ongebruikt!A12</f>
        <v>U09</v>
      </c>
      <c r="B27" s="8" t="str">
        <f aca="false">Ongebruikt!B12</f>
        <v>Knill optimal reversible pebbling</v>
      </c>
      <c r="C27" s="2" t="s">
        <v>664</v>
      </c>
      <c r="D27" s="2" t="n">
        <f aca="false">IF(ISNUMBER(Ongebruikt!AB12),MAX(-1,MIN(1,-Ongebruikt!AB12/10)),0)</f>
        <v>-1</v>
      </c>
      <c r="E27" s="2" t="n">
        <f aca="false">IF(ISNUMBER(Ongebruikt!AC12),MAX(-1,MIN(1,-Ongebruikt!AC12/200)),0)</f>
        <v>0.5</v>
      </c>
      <c r="F27" s="2" t="n">
        <f aca="false">IF(Ongebruikt!O12="exact",1,0)</f>
        <v>1</v>
      </c>
      <c r="G27" s="2" t="n">
        <f aca="false">IF(Ongebruikt!T12="ja",1,0)</f>
        <v>1</v>
      </c>
      <c r="H27" s="2" t="n">
        <f aca="false">Ongebruikt!AA12/5</f>
        <v>1</v>
      </c>
      <c r="I27" s="2" t="n">
        <f aca="false">1-Ongebruikt!Z12/5</f>
        <v>0.6</v>
      </c>
      <c r="J27" s="8" t="n">
        <f aca="false">INDEX(Gelijkheid!$C:$C,MATCH(A27,Gelijkheid!$A:$A,0))</f>
        <v>0.178571428571429</v>
      </c>
      <c r="K27" s="9" t="n">
        <v>0.3</v>
      </c>
      <c r="L27" s="9" t="n">
        <v>0</v>
      </c>
      <c r="M27" s="9" t="n">
        <v>1</v>
      </c>
      <c r="N27" s="9" t="n">
        <v>0.5</v>
      </c>
      <c r="O27" s="9" t="n">
        <v>1</v>
      </c>
      <c r="P27" s="2" t="n">
        <f aca="false">($B$4*D27+$B$5*E27+$B$6*F27+$B$7*G27+$B$8*H27+$B$9*I27+$B$10*J27+$B$11*K27+$B$12*L27+$B$13*M27+$B$14*N27+$B$15*O27)/$B$16</f>
        <v>0.418928571428571</v>
      </c>
      <c r="Q27" s="2" t="n">
        <f aca="false">RANK(P27,$P$19:$P$89)</f>
        <v>19</v>
      </c>
    </row>
    <row r="28" customFormat="false" ht="15" hidden="false" customHeight="false" outlineLevel="0" collapsed="false">
      <c r="A28" s="8" t="str">
        <f aca="false">Ongebruikt!A13</f>
        <v>U10</v>
      </c>
      <c r="B28" s="8" t="str">
        <f aca="false">Ongebruikt!B13</f>
        <v>SAT-based reversible pebbling (Meuli et al.)</v>
      </c>
      <c r="C28" s="2" t="s">
        <v>664</v>
      </c>
      <c r="D28" s="2" t="n">
        <f aca="false">IF(ISNUMBER(Ongebruikt!AB13),MAX(-1,MIN(1,-Ongebruikt!AB13/10)),0)</f>
        <v>-1</v>
      </c>
      <c r="E28" s="2" t="n">
        <f aca="false">IF(ISNUMBER(Ongebruikt!AC13),MAX(-1,MIN(1,-Ongebruikt!AC13/200)),0)</f>
        <v>0.4</v>
      </c>
      <c r="F28" s="2" t="n">
        <f aca="false">IF(Ongebruikt!O13="exact",1,0)</f>
        <v>1</v>
      </c>
      <c r="G28" s="2" t="n">
        <f aca="false">IF(Ongebruikt!T13="ja",1,0)</f>
        <v>1</v>
      </c>
      <c r="H28" s="2" t="n">
        <f aca="false">Ongebruikt!AA13/5</f>
        <v>0.6</v>
      </c>
      <c r="I28" s="2" t="n">
        <f aca="false">1-Ongebruikt!Z13/5</f>
        <v>0.4</v>
      </c>
      <c r="J28" s="8" t="n">
        <f aca="false">INDEX(Gelijkheid!$C:$C,MATCH(A28,Gelijkheid!$A:$A,0))</f>
        <v>0.164285714285714</v>
      </c>
      <c r="K28" s="9" t="n">
        <v>0.3</v>
      </c>
      <c r="L28" s="9" t="n">
        <v>0</v>
      </c>
      <c r="M28" s="9" t="n">
        <v>1</v>
      </c>
      <c r="N28" s="9" t="n">
        <v>0.5</v>
      </c>
      <c r="O28" s="9" t="n">
        <v>1</v>
      </c>
      <c r="P28" s="2" t="n">
        <f aca="false">($B$4*D28+$B$5*E28+$B$6*F28+$B$7*G28+$B$8*H28+$B$9*I28+$B$10*J28+$B$11*K28+$B$12*L28+$B$13*M28+$B$14*N28+$B$15*O28)/$B$16</f>
        <v>0.373214285714286</v>
      </c>
      <c r="Q28" s="2" t="n">
        <f aca="false">RANK(P28,$P$19:$P$89)</f>
        <v>35</v>
      </c>
    </row>
    <row r="29" customFormat="false" ht="15" hidden="false" customHeight="false" outlineLevel="0" collapsed="false">
      <c r="A29" s="8" t="str">
        <f aca="false">Ongebruikt!A14</f>
        <v>U11</v>
      </c>
      <c r="B29" s="8" t="str">
        <f aca="false">Ongebruikt!B14</f>
        <v>Coset representation of modular integers</v>
      </c>
      <c r="C29" s="2" t="s">
        <v>664</v>
      </c>
      <c r="D29" s="2" t="n">
        <f aca="false">IF(ISNUMBER(Ongebruikt!AB14),MAX(-1,MIN(1,-Ongebruikt!AB14/10)),0)</f>
        <v>0.3</v>
      </c>
      <c r="E29" s="2" t="n">
        <f aca="false">IF(ISNUMBER(Ongebruikt!AC14),MAX(-1,MIN(1,-Ongebruikt!AC14/200)),0)</f>
        <v>-0.24</v>
      </c>
      <c r="F29" s="2" t="n">
        <f aca="false">IF(Ongebruikt!O14="exact",1,0)</f>
        <v>0</v>
      </c>
      <c r="G29" s="2" t="n">
        <f aca="false">IF(Ongebruikt!T14="ja",1,0)</f>
        <v>1</v>
      </c>
      <c r="H29" s="2" t="n">
        <f aca="false">Ongebruikt!AA14/5</f>
        <v>0.8</v>
      </c>
      <c r="I29" s="2" t="n">
        <f aca="false">1-Ongebruikt!Z14/5</f>
        <v>0.4</v>
      </c>
      <c r="J29" s="8" t="n">
        <f aca="false">INDEX(Gelijkheid!$C:$C,MATCH(A29,Gelijkheid!$A:$A,0))</f>
        <v>0.135714285714286</v>
      </c>
      <c r="K29" s="9" t="n">
        <v>0.3</v>
      </c>
      <c r="L29" s="9" t="n">
        <v>1</v>
      </c>
      <c r="M29" s="9" t="n">
        <v>0</v>
      </c>
      <c r="N29" s="9" t="n">
        <v>0.5</v>
      </c>
      <c r="O29" s="9" t="n">
        <v>0</v>
      </c>
      <c r="P29" s="2" t="n">
        <f aca="false">($B$4*D29+$B$5*E29+$B$6*F29+$B$7*G29+$B$8*H29+$B$9*I29+$B$10*J29+$B$11*K29+$B$12*L29+$B$13*M29+$B$14*N29+$B$15*O29)/$B$16</f>
        <v>0.330785714285714</v>
      </c>
      <c r="Q29" s="2" t="n">
        <f aca="false">RANK(P29,$P$19:$P$89)</f>
        <v>43</v>
      </c>
    </row>
    <row r="30" customFormat="false" ht="15" hidden="false" customHeight="false" outlineLevel="0" collapsed="false">
      <c r="A30" s="8" t="str">
        <f aca="false">Ongebruikt!A15</f>
        <v>U12</v>
      </c>
      <c r="B30" s="8" t="str">
        <f aca="false">Ongebruikt!B15</f>
        <v>Oblivious carry runways (piecewise adders)</v>
      </c>
      <c r="C30" s="2" t="s">
        <v>664</v>
      </c>
      <c r="D30" s="2" t="n">
        <f aca="false">IF(ISNUMBER(Ongebruikt!AB15),MAX(-1,MIN(1,-Ongebruikt!AB15/10)),0)</f>
        <v>-0.2</v>
      </c>
      <c r="E30" s="2" t="n">
        <f aca="false">IF(ISNUMBER(Ongebruikt!AC15),MAX(-1,MIN(1,-Ongebruikt!AC15/200)),0)</f>
        <v>-0.2</v>
      </c>
      <c r="F30" s="2" t="n">
        <f aca="false">IF(Ongebruikt!O15="exact",1,0)</f>
        <v>0</v>
      </c>
      <c r="G30" s="2" t="n">
        <f aca="false">IF(Ongebruikt!T15="ja",1,0)</f>
        <v>1</v>
      </c>
      <c r="H30" s="2" t="n">
        <f aca="false">Ongebruikt!AA15/5</f>
        <v>0.8</v>
      </c>
      <c r="I30" s="2" t="n">
        <f aca="false">1-Ongebruikt!Z15/5</f>
        <v>0.4</v>
      </c>
      <c r="J30" s="8" t="n">
        <f aca="false">INDEX(Gelijkheid!$C:$C,MATCH(A30,Gelijkheid!$A:$A,0))</f>
        <v>0.15</v>
      </c>
      <c r="K30" s="9" t="n">
        <v>0.3</v>
      </c>
      <c r="L30" s="9" t="n">
        <v>1</v>
      </c>
      <c r="M30" s="9" t="n">
        <v>0.3</v>
      </c>
      <c r="N30" s="9" t="n">
        <v>0.5</v>
      </c>
      <c r="O30" s="9" t="n">
        <v>0</v>
      </c>
      <c r="P30" s="2" t="n">
        <f aca="false">($B$4*D30+$B$5*E30+$B$6*F30+$B$7*G30+$B$8*H30+$B$9*I30+$B$10*J30+$B$11*K30+$B$12*L30+$B$13*M30+$B$14*N30+$B$15*O30)/$B$16</f>
        <v>0.2775</v>
      </c>
      <c r="Q30" s="2" t="n">
        <f aca="false">RANK(P30,$P$19:$P$89)</f>
        <v>54</v>
      </c>
    </row>
    <row r="31" customFormat="false" ht="15" hidden="false" customHeight="false" outlineLevel="0" collapsed="false">
      <c r="A31" s="8" t="str">
        <f aca="false">Ongebruikt!A16</f>
        <v>U13</v>
      </c>
      <c r="B31" s="8" t="str">
        <f aca="false">Ongebruikt!B16</f>
        <v>Residue number system arithmetic</v>
      </c>
      <c r="C31" s="2" t="s">
        <v>664</v>
      </c>
      <c r="D31" s="2" t="n">
        <f aca="false">IF(ISNUMBER(Ongebruikt!AB16),MAX(-1,MIN(1,-Ongebruikt!AB16/10)),0)</f>
        <v>-1</v>
      </c>
      <c r="E31" s="2" t="n">
        <f aca="false">IF(ISNUMBER(Ongebruikt!AC16),MAX(-1,MIN(1,-Ongebruikt!AC16/200)),0)</f>
        <v>1</v>
      </c>
      <c r="F31" s="2" t="n">
        <f aca="false">IF(Ongebruikt!O16="exact",1,0)</f>
        <v>0</v>
      </c>
      <c r="G31" s="2" t="n">
        <f aca="false">IF(Ongebruikt!T16="ja",1,0)</f>
        <v>1</v>
      </c>
      <c r="H31" s="2" t="n">
        <f aca="false">Ongebruikt!AA16/5</f>
        <v>0.4</v>
      </c>
      <c r="I31" s="2" t="n">
        <f aca="false">1-Ongebruikt!Z16/5</f>
        <v>0</v>
      </c>
      <c r="J31" s="8" t="n">
        <f aca="false">INDEX(Gelijkheid!$C:$C,MATCH(A31,Gelijkheid!$A:$A,0))</f>
        <v>0.257142857142857</v>
      </c>
      <c r="K31" s="9" t="n">
        <v>0</v>
      </c>
      <c r="L31" s="9" t="n">
        <v>1</v>
      </c>
      <c r="M31" s="9" t="n">
        <v>0</v>
      </c>
      <c r="N31" s="9" t="n">
        <v>0.5</v>
      </c>
      <c r="O31" s="9" t="n">
        <v>0</v>
      </c>
      <c r="P31" s="2" t="n">
        <f aca="false">($B$4*D31+$B$5*E31+$B$6*F31+$B$7*G31+$B$8*H31+$B$9*I31+$B$10*J31+$B$11*K31+$B$12*L31+$B$13*M31+$B$14*N31+$B$15*O31)/$B$16</f>
        <v>0.257857142857143</v>
      </c>
      <c r="Q31" s="2" t="n">
        <f aca="false">RANK(P31,$P$19:$P$89)</f>
        <v>55</v>
      </c>
    </row>
    <row r="32" customFormat="false" ht="15" hidden="false" customHeight="false" outlineLevel="0" collapsed="false">
      <c r="A32" s="8" t="str">
        <f aca="false">Ongebruikt!A17</f>
        <v>U14</v>
      </c>
      <c r="B32" s="8" t="str">
        <f aca="false">Ongebruikt!B17</f>
        <v>Approximate residue arithmetic (truncated outputs)</v>
      </c>
      <c r="C32" s="2" t="s">
        <v>664</v>
      </c>
      <c r="D32" s="2" t="n">
        <f aca="false">IF(ISNUMBER(Ongebruikt!AB17),MAX(-1,MIN(1,-Ongebruikt!AB17/10)),0)</f>
        <v>0</v>
      </c>
      <c r="E32" s="2" t="n">
        <f aca="false">IF(ISNUMBER(Ongebruikt!AC17),MAX(-1,MIN(1,-Ongebruikt!AC17/200)),0)</f>
        <v>0</v>
      </c>
      <c r="F32" s="2" t="n">
        <f aca="false">IF(Ongebruikt!O17="exact",1,0)</f>
        <v>0</v>
      </c>
      <c r="G32" s="2" t="n">
        <f aca="false">IF(Ongebruikt!T17="ja",1,0)</f>
        <v>1</v>
      </c>
      <c r="H32" s="2" t="n">
        <f aca="false">Ongebruikt!AA17/5</f>
        <v>0.6</v>
      </c>
      <c r="I32" s="2" t="n">
        <f aca="false">1-Ongebruikt!Z17/5</f>
        <v>0</v>
      </c>
      <c r="J32" s="8" t="n">
        <f aca="false">INDEX(Gelijkheid!$C:$C,MATCH(A32,Gelijkheid!$A:$A,0))</f>
        <v>0.142857142857143</v>
      </c>
      <c r="K32" s="9" t="n">
        <v>0</v>
      </c>
      <c r="L32" s="9" t="n">
        <v>0</v>
      </c>
      <c r="M32" s="9" t="n">
        <v>0</v>
      </c>
      <c r="N32" s="9" t="n">
        <v>0</v>
      </c>
      <c r="O32" s="9" t="n">
        <v>0</v>
      </c>
      <c r="P32" s="2" t="n">
        <f aca="false">($B$4*D32+$B$5*E32+$B$6*F32+$B$7*G32+$B$8*H32+$B$9*I32+$B$10*J32+$B$11*K32+$B$12*L32+$B$13*M32+$B$14*N32+$B$15*O32)/$B$16</f>
        <v>0.187142857142857</v>
      </c>
      <c r="Q32" s="2" t="n">
        <f aca="false">RANK(P32,$P$19:$P$89)</f>
        <v>63</v>
      </c>
    </row>
    <row r="33" customFormat="false" ht="15" hidden="false" customHeight="false" outlineLevel="0" collapsed="false">
      <c r="A33" s="8" t="str">
        <f aca="false">Ongebruikt!A18</f>
        <v>U15</v>
      </c>
      <c r="B33" s="8" t="str">
        <f aca="false">Ongebruikt!B18</f>
        <v>Ekera-Hastad short discrete-log runs</v>
      </c>
      <c r="C33" s="2" t="s">
        <v>664</v>
      </c>
      <c r="D33" s="2" t="n">
        <f aca="false">IF(ISNUMBER(Ongebruikt!AB18),MAX(-1,MIN(1,-Ongebruikt!AB18/10)),0)</f>
        <v>0</v>
      </c>
      <c r="E33" s="2" t="n">
        <f aca="false">IF(ISNUMBER(Ongebruikt!AC18),MAX(-1,MIN(1,-Ongebruikt!AC18/200)),0)</f>
        <v>0</v>
      </c>
      <c r="F33" s="2" t="n">
        <f aca="false">IF(Ongebruikt!O18="exact",1,0)</f>
        <v>1</v>
      </c>
      <c r="G33" s="2" t="n">
        <f aca="false">IF(Ongebruikt!T18="ja",1,0)</f>
        <v>1</v>
      </c>
      <c r="H33" s="2" t="n">
        <f aca="false">Ongebruikt!AA18/5</f>
        <v>1</v>
      </c>
      <c r="I33" s="2" t="n">
        <f aca="false">1-Ongebruikt!Z18/5</f>
        <v>0.6</v>
      </c>
      <c r="J33" s="8" t="n">
        <f aca="false">INDEX(Gelijkheid!$C:$C,MATCH(A33,Gelijkheid!$A:$A,0))</f>
        <v>0.1</v>
      </c>
      <c r="K33" s="9" t="n">
        <v>0</v>
      </c>
      <c r="L33" s="9" t="n">
        <v>0</v>
      </c>
      <c r="M33" s="9" t="n">
        <v>0</v>
      </c>
      <c r="N33" s="9" t="n">
        <v>0</v>
      </c>
      <c r="O33" s="9" t="n">
        <v>0</v>
      </c>
      <c r="P33" s="2" t="n">
        <f aca="false">($B$4*D33+$B$5*E33+$B$6*F33+$B$7*G33+$B$8*H33+$B$9*I33+$B$10*J33+$B$11*K33+$B$12*L33+$B$13*M33+$B$14*N33+$B$15*O33)/$B$16</f>
        <v>0.335</v>
      </c>
      <c r="Q33" s="2" t="n">
        <f aca="false">RANK(P33,$P$19:$P$89)</f>
        <v>41</v>
      </c>
    </row>
    <row r="34" customFormat="false" ht="15" hidden="false" customHeight="false" outlineLevel="0" collapsed="false">
      <c r="A34" s="8" t="str">
        <f aca="false">Ongebruikt!A19</f>
        <v>U16</v>
      </c>
      <c r="B34" s="8" t="str">
        <f aca="false">Ongebruikt!B19</f>
        <v>Regev multidimensional algorithm</v>
      </c>
      <c r="C34" s="2" t="s">
        <v>664</v>
      </c>
      <c r="D34" s="2" t="n">
        <f aca="false">IF(ISNUMBER(Ongebruikt!AB19),MAX(-1,MIN(1,-Ongebruikt!AB19/10)),0)</f>
        <v>0</v>
      </c>
      <c r="E34" s="2" t="n">
        <f aca="false">IF(ISNUMBER(Ongebruikt!AC19),MAX(-1,MIN(1,-Ongebruikt!AC19/200)),0)</f>
        <v>0</v>
      </c>
      <c r="F34" s="2" t="n">
        <f aca="false">IF(Ongebruikt!O19="exact",1,0)</f>
        <v>1</v>
      </c>
      <c r="G34" s="2" t="n">
        <f aca="false">IF(Ongebruikt!T19="ja",1,0)</f>
        <v>1</v>
      </c>
      <c r="H34" s="2" t="n">
        <f aca="false">Ongebruikt!AA19/5</f>
        <v>0.6</v>
      </c>
      <c r="I34" s="2" t="n">
        <f aca="false">1-Ongebruikt!Z19/5</f>
        <v>0.2</v>
      </c>
      <c r="J34" s="8" t="n">
        <f aca="false">INDEX(Gelijkheid!$C:$C,MATCH(A34,Gelijkheid!$A:$A,0))</f>
        <v>0.1</v>
      </c>
      <c r="K34" s="9" t="n">
        <v>0</v>
      </c>
      <c r="L34" s="9" t="n">
        <v>0</v>
      </c>
      <c r="M34" s="9" t="n">
        <v>0</v>
      </c>
      <c r="N34" s="9" t="n">
        <v>0</v>
      </c>
      <c r="O34" s="9" t="n">
        <v>0</v>
      </c>
      <c r="P34" s="2" t="n">
        <f aca="false">($B$4*D34+$B$5*E34+$B$6*F34+$B$7*G34+$B$8*H34+$B$9*I34+$B$10*J34+$B$11*K34+$B$12*L34+$B$13*M34+$B$14*N34+$B$15*O34)/$B$16</f>
        <v>0.295</v>
      </c>
      <c r="Q34" s="2" t="n">
        <f aca="false">RANK(P34,$P$19:$P$89)</f>
        <v>49</v>
      </c>
    </row>
    <row r="35" customFormat="false" ht="15" hidden="false" customHeight="false" outlineLevel="0" collapsed="false">
      <c r="A35" s="8" t="str">
        <f aca="false">Ongebruikt!A20</f>
        <v>U17</v>
      </c>
      <c r="B35" s="8" t="str">
        <f aca="false">Ongebruikt!B20</f>
        <v>x-only / Montgomery-ladder differential addition</v>
      </c>
      <c r="C35" s="2" t="s">
        <v>664</v>
      </c>
      <c r="D35" s="2" t="n">
        <f aca="false">IF(ISNUMBER(Ongebruikt!AB20),MAX(-1,MIN(1,-Ongebruikt!AB20/10)),0)</f>
        <v>0</v>
      </c>
      <c r="E35" s="2" t="n">
        <f aca="false">IF(ISNUMBER(Ongebruikt!AC20),MAX(-1,MIN(1,-Ongebruikt!AC20/200)),0)</f>
        <v>0</v>
      </c>
      <c r="F35" s="2" t="n">
        <f aca="false">IF(Ongebruikt!O20="exact",1,0)</f>
        <v>1</v>
      </c>
      <c r="G35" s="2" t="n">
        <f aca="false">IF(Ongebruikt!T20="ja",1,0)</f>
        <v>1</v>
      </c>
      <c r="H35" s="2" t="n">
        <f aca="false">Ongebruikt!AA20/5</f>
        <v>0.4</v>
      </c>
      <c r="I35" s="2" t="n">
        <f aca="false">1-Ongebruikt!Z20/5</f>
        <v>0.2</v>
      </c>
      <c r="J35" s="8" t="n">
        <f aca="false">INDEX(Gelijkheid!$C:$C,MATCH(A35,Gelijkheid!$A:$A,0))</f>
        <v>0.1</v>
      </c>
      <c r="K35" s="9" t="n">
        <v>0</v>
      </c>
      <c r="L35" s="9" t="n">
        <v>0</v>
      </c>
      <c r="M35" s="9" t="n">
        <v>0</v>
      </c>
      <c r="N35" s="9" t="n">
        <v>0</v>
      </c>
      <c r="O35" s="9" t="n">
        <v>0</v>
      </c>
      <c r="P35" s="2" t="n">
        <f aca="false">($B$4*D35+$B$5*E35+$B$6*F35+$B$7*G35+$B$8*H35+$B$9*I35+$B$10*J35+$B$11*K35+$B$12*L35+$B$13*M35+$B$14*N35+$B$15*O35)/$B$16</f>
        <v>0.285</v>
      </c>
      <c r="Q35" s="2" t="n">
        <f aca="false">RANK(P35,$P$19:$P$89)</f>
        <v>51</v>
      </c>
    </row>
    <row r="36" customFormat="false" ht="15" hidden="false" customHeight="false" outlineLevel="0" collapsed="false">
      <c r="A36" s="8" t="str">
        <f aca="false">Ongebruikt!A21</f>
        <v>U18</v>
      </c>
      <c r="B36" s="8" t="str">
        <f aca="false">Ongebruikt!B21</f>
        <v>Projective / Jacobian coordinates</v>
      </c>
      <c r="C36" s="2" t="s">
        <v>664</v>
      </c>
      <c r="D36" s="2" t="n">
        <f aca="false">IF(ISNUMBER(Ongebruikt!AB21),MAX(-1,MIN(1,-Ongebruikt!AB21/10)),0)</f>
        <v>0</v>
      </c>
      <c r="E36" s="2" t="n">
        <f aca="false">IF(ISNUMBER(Ongebruikt!AC21),MAX(-1,MIN(1,-Ongebruikt!AC21/200)),0)</f>
        <v>0</v>
      </c>
      <c r="F36" s="2" t="n">
        <f aca="false">IF(Ongebruikt!O21="exact",1,0)</f>
        <v>1</v>
      </c>
      <c r="G36" s="2" t="n">
        <f aca="false">IF(Ongebruikt!T21="ja",1,0)</f>
        <v>1</v>
      </c>
      <c r="H36" s="2" t="n">
        <f aca="false">Ongebruikt!AA21/5</f>
        <v>1</v>
      </c>
      <c r="I36" s="2" t="n">
        <f aca="false">1-Ongebruikt!Z21/5</f>
        <v>0.4</v>
      </c>
      <c r="J36" s="8" t="n">
        <f aca="false">INDEX(Gelijkheid!$C:$C,MATCH(A36,Gelijkheid!$A:$A,0))</f>
        <v>0.1</v>
      </c>
      <c r="K36" s="9" t="n">
        <v>0</v>
      </c>
      <c r="L36" s="9" t="n">
        <v>0</v>
      </c>
      <c r="M36" s="9" t="n">
        <v>0</v>
      </c>
      <c r="N36" s="9" t="n">
        <v>0</v>
      </c>
      <c r="O36" s="9" t="n">
        <v>0</v>
      </c>
      <c r="P36" s="2" t="n">
        <f aca="false">($B$4*D36+$B$5*E36+$B$6*F36+$B$7*G36+$B$8*H36+$B$9*I36+$B$10*J36+$B$11*K36+$B$12*L36+$B$13*M36+$B$14*N36+$B$15*O36)/$B$16</f>
        <v>0.325</v>
      </c>
      <c r="Q36" s="2" t="n">
        <f aca="false">RANK(P36,$P$19:$P$89)</f>
        <v>44</v>
      </c>
    </row>
    <row r="37" customFormat="false" ht="15" hidden="false" customHeight="false" outlineLevel="0" collapsed="false">
      <c r="A37" s="8" t="str">
        <f aca="false">Ongebruikt!A22</f>
        <v>U19</v>
      </c>
      <c r="B37" s="8" t="str">
        <f aca="false">Ongebruikt!B22</f>
        <v>Legendre-symbol hash (inversion-free ECDLP)</v>
      </c>
      <c r="C37" s="2" t="s">
        <v>664</v>
      </c>
      <c r="D37" s="2" t="n">
        <f aca="false">IF(ISNUMBER(Ongebruikt!AB22),MAX(-1,MIN(1,-Ongebruikt!AB22/10)),0)</f>
        <v>0</v>
      </c>
      <c r="E37" s="2" t="n">
        <f aca="false">IF(ISNUMBER(Ongebruikt!AC22),MAX(-1,MIN(1,-Ongebruikt!AC22/200)),0)</f>
        <v>0</v>
      </c>
      <c r="F37" s="2" t="n">
        <f aca="false">IF(Ongebruikt!O22="exact",1,0)</f>
        <v>0</v>
      </c>
      <c r="G37" s="2" t="n">
        <f aca="false">IF(Ongebruikt!T22="ja",1,0)</f>
        <v>1</v>
      </c>
      <c r="H37" s="2" t="n">
        <f aca="false">Ongebruikt!AA22/5</f>
        <v>0.4</v>
      </c>
      <c r="I37" s="2" t="n">
        <f aca="false">1-Ongebruikt!Z22/5</f>
        <v>0.2</v>
      </c>
      <c r="J37" s="8" t="n">
        <f aca="false">INDEX(Gelijkheid!$C:$C,MATCH(A37,Gelijkheid!$A:$A,0))</f>
        <v>0.1</v>
      </c>
      <c r="K37" s="9" t="n">
        <v>0</v>
      </c>
      <c r="L37" s="9" t="n">
        <v>0</v>
      </c>
      <c r="M37" s="9" t="n">
        <v>0</v>
      </c>
      <c r="N37" s="9" t="n">
        <v>0</v>
      </c>
      <c r="O37" s="9" t="n">
        <v>0</v>
      </c>
      <c r="P37" s="2" t="n">
        <f aca="false">($B$4*D37+$B$5*E37+$B$6*F37+$B$7*G37+$B$8*H37+$B$9*I37+$B$10*J37+$B$11*K37+$B$12*L37+$B$13*M37+$B$14*N37+$B$15*O37)/$B$16</f>
        <v>0.185</v>
      </c>
      <c r="Q37" s="2" t="n">
        <f aca="false">RANK(P37,$P$19:$P$89)</f>
        <v>64</v>
      </c>
    </row>
    <row r="38" customFormat="false" ht="15" hidden="false" customHeight="false" outlineLevel="0" collapsed="false">
      <c r="A38" s="8" t="str">
        <f aca="false">Ongebruikt!A23</f>
        <v>U20</v>
      </c>
      <c r="B38" s="8" t="str">
        <f aca="false">Ongebruikt!B23</f>
        <v>GLV endomorphism</v>
      </c>
      <c r="C38" s="2" t="s">
        <v>664</v>
      </c>
      <c r="D38" s="2" t="n">
        <f aca="false">IF(ISNUMBER(Ongebruikt!AB23),MAX(-1,MIN(1,-Ongebruikt!AB23/10)),0)</f>
        <v>0</v>
      </c>
      <c r="E38" s="2" t="n">
        <f aca="false">IF(ISNUMBER(Ongebruikt!AC23),MAX(-1,MIN(1,-Ongebruikt!AC23/200)),0)</f>
        <v>0</v>
      </c>
      <c r="F38" s="2" t="n">
        <f aca="false">IF(Ongebruikt!O23="exact",1,0)</f>
        <v>1</v>
      </c>
      <c r="G38" s="2" t="n">
        <f aca="false">IF(Ongebruikt!T23="ja",1,0)</f>
        <v>1</v>
      </c>
      <c r="H38" s="2" t="n">
        <f aca="false">Ongebruikt!AA23/5</f>
        <v>1</v>
      </c>
      <c r="I38" s="2" t="n">
        <f aca="false">1-Ongebruikt!Z23/5</f>
        <v>0.6</v>
      </c>
      <c r="J38" s="8" t="n">
        <f aca="false">INDEX(Gelijkheid!$C:$C,MATCH(A38,Gelijkheid!$A:$A,0))</f>
        <v>0.1</v>
      </c>
      <c r="K38" s="9" t="n">
        <v>0</v>
      </c>
      <c r="L38" s="9" t="n">
        <v>0</v>
      </c>
      <c r="M38" s="9" t="n">
        <v>0</v>
      </c>
      <c r="N38" s="9" t="n">
        <v>0</v>
      </c>
      <c r="O38" s="9" t="n">
        <v>0</v>
      </c>
      <c r="P38" s="2" t="n">
        <f aca="false">($B$4*D38+$B$5*E38+$B$6*F38+$B$7*G38+$B$8*H38+$B$9*I38+$B$10*J38+$B$11*K38+$B$12*L38+$B$13*M38+$B$14*N38+$B$15*O38)/$B$16</f>
        <v>0.335</v>
      </c>
      <c r="Q38" s="2" t="n">
        <f aca="false">RANK(P38,$P$19:$P$89)</f>
        <v>41</v>
      </c>
    </row>
    <row r="39" customFormat="false" ht="15" hidden="false" customHeight="false" outlineLevel="0" collapsed="false">
      <c r="A39" s="8" t="str">
        <f aca="false">Ongebruikt!A24</f>
        <v>U21</v>
      </c>
      <c r="B39" s="8" t="str">
        <f aca="false">Ongebruikt!B24</f>
        <v>Draper QFT adder</v>
      </c>
      <c r="C39" s="2" t="s">
        <v>664</v>
      </c>
      <c r="D39" s="2" t="n">
        <f aca="false">IF(ISNUMBER(Ongebruikt!AB24),MAX(-1,MIN(1,-Ongebruikt!AB24/10)),0)</f>
        <v>0</v>
      </c>
      <c r="E39" s="2" t="n">
        <f aca="false">IF(ISNUMBER(Ongebruikt!AC24),MAX(-1,MIN(1,-Ongebruikt!AC24/200)),0)</f>
        <v>0</v>
      </c>
      <c r="F39" s="2" t="n">
        <f aca="false">IF(Ongebruikt!O24="exact",1,0)</f>
        <v>1</v>
      </c>
      <c r="G39" s="2" t="n">
        <f aca="false">IF(Ongebruikt!T24="ja",1,0)</f>
        <v>0</v>
      </c>
      <c r="H39" s="2" t="n">
        <f aca="false">Ongebruikt!AA24/5</f>
        <v>1</v>
      </c>
      <c r="I39" s="2" t="n">
        <f aca="false">1-Ongebruikt!Z24/5</f>
        <v>0.4</v>
      </c>
      <c r="J39" s="8" t="n">
        <f aca="false">INDEX(Gelijkheid!$C:$C,MATCH(A39,Gelijkheid!$A:$A,0))</f>
        <v>0.271428571428571</v>
      </c>
      <c r="K39" s="9" t="n">
        <v>0.3</v>
      </c>
      <c r="L39" s="9" t="n">
        <v>1</v>
      </c>
      <c r="M39" s="9" t="n">
        <v>0.3</v>
      </c>
      <c r="N39" s="9" t="n">
        <v>0</v>
      </c>
      <c r="O39" s="9" t="n">
        <v>0</v>
      </c>
      <c r="P39" s="2" t="n">
        <f aca="false">($B$4*D39+$B$5*E39+$B$6*F39+$B$7*G39+$B$8*H39+$B$9*I39+$B$10*J39+$B$11*K39+$B$12*L39+$B$13*M39+$B$14*N39+$B$15*O39)/$B$16</f>
        <v>0.278571428571429</v>
      </c>
      <c r="Q39" s="2" t="n">
        <f aca="false">RANK(P39,$P$19:$P$89)</f>
        <v>53</v>
      </c>
    </row>
    <row r="40" customFormat="false" ht="15" hidden="false" customHeight="false" outlineLevel="0" collapsed="false">
      <c r="A40" s="8" t="str">
        <f aca="false">Ongebruikt!A25</f>
        <v>U22</v>
      </c>
      <c r="B40" s="8" t="str">
        <f aca="false">Ongebruikt!B25</f>
        <v>Phase-gradient arithmetic</v>
      </c>
      <c r="C40" s="2" t="s">
        <v>664</v>
      </c>
      <c r="D40" s="2" t="n">
        <f aca="false">IF(ISNUMBER(Ongebruikt!AB25),MAX(-1,MIN(1,-Ongebruikt!AB25/10)),0)</f>
        <v>0</v>
      </c>
      <c r="E40" s="2" t="n">
        <f aca="false">IF(ISNUMBER(Ongebruikt!AC25),MAX(-1,MIN(1,-Ongebruikt!AC25/200)),0)</f>
        <v>0</v>
      </c>
      <c r="F40" s="2" t="n">
        <f aca="false">IF(Ongebruikt!O25="exact",1,0)</f>
        <v>0</v>
      </c>
      <c r="G40" s="2" t="n">
        <f aca="false">IF(Ongebruikt!T25="ja",1,0)</f>
        <v>0</v>
      </c>
      <c r="H40" s="2" t="n">
        <f aca="false">Ongebruikt!AA25/5</f>
        <v>0.8</v>
      </c>
      <c r="I40" s="2" t="n">
        <f aca="false">1-Ongebruikt!Z25/5</f>
        <v>0.4</v>
      </c>
      <c r="J40" s="8" t="n">
        <f aca="false">INDEX(Gelijkheid!$C:$C,MATCH(A40,Gelijkheid!$A:$A,0))</f>
        <v>0.364285714285714</v>
      </c>
      <c r="K40" s="9" t="n">
        <v>0.3</v>
      </c>
      <c r="L40" s="9" t="n">
        <v>1</v>
      </c>
      <c r="M40" s="9" t="n">
        <v>0.3</v>
      </c>
      <c r="N40" s="9" t="n">
        <v>0</v>
      </c>
      <c r="O40" s="9" t="n">
        <v>0</v>
      </c>
      <c r="P40" s="2" t="n">
        <f aca="false">($B$4*D40+$B$5*E40+$B$6*F40+$B$7*G40+$B$8*H40+$B$9*I40+$B$10*J40+$B$11*K40+$B$12*L40+$B$13*M40+$B$14*N40+$B$15*O40)/$B$16</f>
        <v>0.173214285714286</v>
      </c>
      <c r="Q40" s="2" t="n">
        <f aca="false">RANK(P40,$P$19:$P$89)</f>
        <v>66</v>
      </c>
    </row>
    <row r="41" customFormat="false" ht="15" hidden="false" customHeight="false" outlineLevel="0" collapsed="false">
      <c r="A41" s="8" t="str">
        <f aca="false">Ongebruikt!A26</f>
        <v>U23</v>
      </c>
      <c r="B41" s="8" t="str">
        <f aca="false">Ongebruikt!B26</f>
        <v>Carry-lookahead adder (Draper-Kutin-Rains-Svore)</v>
      </c>
      <c r="C41" s="2" t="s">
        <v>664</v>
      </c>
      <c r="D41" s="2" t="n">
        <f aca="false">IF(ISNUMBER(Ongebruikt!AB26),MAX(-1,MIN(1,-Ongebruikt!AB26/10)),0)</f>
        <v>-0.8</v>
      </c>
      <c r="E41" s="2" t="n">
        <f aca="false">IF(ISNUMBER(Ongebruikt!AC26),MAX(-1,MIN(1,-Ongebruikt!AC26/200)),0)</f>
        <v>-1</v>
      </c>
      <c r="F41" s="2" t="n">
        <f aca="false">IF(Ongebruikt!O26="exact",1,0)</f>
        <v>1</v>
      </c>
      <c r="G41" s="2" t="n">
        <f aca="false">IF(Ongebruikt!T26="ja",1,0)</f>
        <v>1</v>
      </c>
      <c r="H41" s="2" t="n">
        <f aca="false">Ongebruikt!AA26/5</f>
        <v>1</v>
      </c>
      <c r="I41" s="2" t="n">
        <f aca="false">1-Ongebruikt!Z26/5</f>
        <v>0.4</v>
      </c>
      <c r="J41" s="8" t="n">
        <f aca="false">INDEX(Gelijkheid!$C:$C,MATCH(A41,Gelijkheid!$A:$A,0))</f>
        <v>0.0285714285714286</v>
      </c>
      <c r="K41" s="9" t="n">
        <v>0.3</v>
      </c>
      <c r="L41" s="9" t="n">
        <v>1</v>
      </c>
      <c r="M41" s="9" t="n">
        <v>0.3</v>
      </c>
      <c r="N41" s="9" t="n">
        <v>0.5</v>
      </c>
      <c r="O41" s="9" t="n">
        <v>0</v>
      </c>
      <c r="P41" s="2" t="n">
        <f aca="false">($B$4*D41+$B$5*E41+$B$6*F41+$B$7*G41+$B$8*H41+$B$9*I41+$B$10*J41+$B$11*K41+$B$12*L41+$B$13*M41+$B$14*N41+$B$15*O41)/$B$16</f>
        <v>0.171428571428571</v>
      </c>
      <c r="Q41" s="2" t="n">
        <f aca="false">RANK(P41,$P$19:$P$89)</f>
        <v>67</v>
      </c>
    </row>
    <row r="42" customFormat="false" ht="15" hidden="false" customHeight="false" outlineLevel="0" collapsed="false">
      <c r="A42" s="8" t="str">
        <f aca="false">Ongebruikt!A27</f>
        <v>U24</v>
      </c>
      <c r="B42" s="8" t="str">
        <f aca="false">Ongebruikt!B27</f>
        <v>CDKM / Cuccaro ripple adder (1 ancilla)</v>
      </c>
      <c r="C42" s="2" t="s">
        <v>664</v>
      </c>
      <c r="D42" s="2" t="n">
        <f aca="false">IF(ISNUMBER(Ongebruikt!AB27),MAX(-1,MIN(1,-Ongebruikt!AB27/10)),0)</f>
        <v>-1</v>
      </c>
      <c r="E42" s="2" t="n">
        <f aca="false">IF(ISNUMBER(Ongebruikt!AC27),MAX(-1,MIN(1,-Ongebruikt!AC27/200)),0)</f>
        <v>0.3</v>
      </c>
      <c r="F42" s="2" t="n">
        <f aca="false">IF(Ongebruikt!O27="exact",1,0)</f>
        <v>1</v>
      </c>
      <c r="G42" s="2" t="n">
        <f aca="false">IF(Ongebruikt!T27="ja",1,0)</f>
        <v>1</v>
      </c>
      <c r="H42" s="2" t="n">
        <f aca="false">Ongebruikt!AA27/5</f>
        <v>1</v>
      </c>
      <c r="I42" s="2" t="n">
        <f aca="false">1-Ongebruikt!Z27/5</f>
        <v>0.8</v>
      </c>
      <c r="J42" s="8" t="n">
        <f aca="false">INDEX(Gelijkheid!$C:$C,MATCH(A42,Gelijkheid!$A:$A,0))</f>
        <v>0.0428571428571428</v>
      </c>
      <c r="K42" s="9" t="n">
        <v>0.3</v>
      </c>
      <c r="L42" s="9" t="n">
        <v>1</v>
      </c>
      <c r="M42" s="9" t="n">
        <v>0.3</v>
      </c>
      <c r="N42" s="9" t="n">
        <v>0.5</v>
      </c>
      <c r="O42" s="9" t="n">
        <v>0</v>
      </c>
      <c r="P42" s="2" t="n">
        <f aca="false">($B$4*D42+$B$5*E42+$B$6*F42+$B$7*G42+$B$8*H42+$B$9*I42+$B$10*J42+$B$11*K42+$B$12*L42+$B$13*M42+$B$14*N42+$B$15*O42)/$B$16</f>
        <v>0.357142857142857</v>
      </c>
      <c r="Q42" s="2" t="n">
        <f aca="false">RANK(P42,$P$19:$P$89)</f>
        <v>40</v>
      </c>
    </row>
    <row r="43" customFormat="false" ht="15" hidden="false" customHeight="false" outlineLevel="0" collapsed="false">
      <c r="A43" s="8" t="str">
        <f aca="false">Ongebruikt!A28</f>
        <v>U25</v>
      </c>
      <c r="B43" s="8" t="str">
        <f aca="false">Ongebruikt!B28</f>
        <v>Dirty-ancilla arithmetic (Haner 2n+2)</v>
      </c>
      <c r="C43" s="2" t="s">
        <v>664</v>
      </c>
      <c r="D43" s="2" t="n">
        <f aca="false">IF(ISNUMBER(Ongebruikt!AB28),MAX(-1,MIN(1,-Ongebruikt!AB28/10)),0)</f>
        <v>-1</v>
      </c>
      <c r="E43" s="2" t="n">
        <f aca="false">IF(ISNUMBER(Ongebruikt!AC28),MAX(-1,MIN(1,-Ongebruikt!AC28/200)),0)</f>
        <v>0.5</v>
      </c>
      <c r="F43" s="2" t="n">
        <f aca="false">IF(Ongebruikt!O28="exact",1,0)</f>
        <v>1</v>
      </c>
      <c r="G43" s="2" t="n">
        <f aca="false">IF(Ongebruikt!T28="ja",1,0)</f>
        <v>1</v>
      </c>
      <c r="H43" s="2" t="n">
        <f aca="false">Ongebruikt!AA28/5</f>
        <v>0.8</v>
      </c>
      <c r="I43" s="2" t="n">
        <f aca="false">1-Ongebruikt!Z28/5</f>
        <v>0.2</v>
      </c>
      <c r="J43" s="8" t="n">
        <f aca="false">INDEX(Gelijkheid!$C:$C,MATCH(A43,Gelijkheid!$A:$A,0))</f>
        <v>0.114285714285714</v>
      </c>
      <c r="K43" s="9" t="n">
        <v>0</v>
      </c>
      <c r="L43" s="9" t="n">
        <v>0</v>
      </c>
      <c r="M43" s="9" t="n">
        <v>1</v>
      </c>
      <c r="N43" s="9" t="n">
        <v>0.5</v>
      </c>
      <c r="O43" s="9" t="n">
        <v>0</v>
      </c>
      <c r="P43" s="2" t="n">
        <f aca="false">($B$4*D43+$B$5*E43+$B$6*F43+$B$7*G43+$B$8*H43+$B$9*I43+$B$10*J43+$B$11*K43+$B$12*L43+$B$13*M43+$B$14*N43+$B$15*O43)/$B$16</f>
        <v>0.305714285714286</v>
      </c>
      <c r="Q43" s="2" t="n">
        <f aca="false">RANK(P43,$P$19:$P$89)</f>
        <v>47</v>
      </c>
    </row>
    <row r="44" customFormat="false" ht="15" hidden="false" customHeight="false" outlineLevel="0" collapsed="false">
      <c r="A44" s="8" t="str">
        <f aca="false">Ongebruikt!A29</f>
        <v>U26</v>
      </c>
      <c r="B44" s="8" t="str">
        <f aca="false">Ongebruikt!B29</f>
        <v>Conditionally clean ancillae</v>
      </c>
      <c r="C44" s="2" t="s">
        <v>664</v>
      </c>
      <c r="D44" s="2" t="n">
        <f aca="false">IF(ISNUMBER(Ongebruikt!AB29),MAX(-1,MIN(1,-Ongebruikt!AB29/10)),0)</f>
        <v>-0.1</v>
      </c>
      <c r="E44" s="2" t="n">
        <f aca="false">IF(ISNUMBER(Ongebruikt!AC29),MAX(-1,MIN(1,-Ongebruikt!AC29/200)),0)</f>
        <v>0.1</v>
      </c>
      <c r="F44" s="2" t="n">
        <f aca="false">IF(Ongebruikt!O29="exact",1,0)</f>
        <v>1</v>
      </c>
      <c r="G44" s="2" t="n">
        <f aca="false">IF(Ongebruikt!T29="ja",1,0)</f>
        <v>1</v>
      </c>
      <c r="H44" s="2" t="n">
        <f aca="false">Ongebruikt!AA29/5</f>
        <v>0.8</v>
      </c>
      <c r="I44" s="2" t="n">
        <f aca="false">1-Ongebruikt!Z29/5</f>
        <v>0.4</v>
      </c>
      <c r="J44" s="8" t="n">
        <f aca="false">INDEX(Gelijkheid!$C:$C,MATCH(A44,Gelijkheid!$A:$A,0))</f>
        <v>0.0142857142857142</v>
      </c>
      <c r="K44" s="9" t="n">
        <v>0</v>
      </c>
      <c r="L44" s="9" t="n">
        <v>0</v>
      </c>
      <c r="M44" s="9" t="n">
        <v>1</v>
      </c>
      <c r="N44" s="9" t="n">
        <v>0.5</v>
      </c>
      <c r="O44" s="9" t="n">
        <v>0</v>
      </c>
      <c r="P44" s="2" t="n">
        <f aca="false">($B$4*D44+$B$5*E44+$B$6*F44+$B$7*G44+$B$8*H44+$B$9*I44+$B$10*J44+$B$11*K44+$B$12*L44+$B$13*M44+$B$14*N44+$B$15*O44)/$B$16</f>
        <v>0.385714285714286</v>
      </c>
      <c r="Q44" s="2" t="n">
        <f aca="false">RANK(P44,$P$19:$P$89)</f>
        <v>32</v>
      </c>
    </row>
    <row r="45" customFormat="false" ht="15" hidden="false" customHeight="false" outlineLevel="0" collapsed="false">
      <c r="A45" s="8" t="str">
        <f aca="false">Ongebruikt!A30</f>
        <v>U27</v>
      </c>
      <c r="B45" s="8" t="str">
        <f aca="false">Ongebruikt!B30</f>
        <v>QROAM select-swap lookup</v>
      </c>
      <c r="C45" s="2" t="s">
        <v>664</v>
      </c>
      <c r="D45" s="2" t="n">
        <f aca="false">IF(ISNUMBER(Ongebruikt!AB30),MAX(-1,MIN(1,-Ongebruikt!AB30/10)),0)</f>
        <v>-0</v>
      </c>
      <c r="E45" s="2" t="n">
        <f aca="false">IF(ISNUMBER(Ongebruikt!AC30),MAX(-1,MIN(1,-Ongebruikt!AC30/200)),0)</f>
        <v>-0.32</v>
      </c>
      <c r="F45" s="2" t="n">
        <f aca="false">IF(Ongebruikt!O30="exact",1,0)</f>
        <v>1</v>
      </c>
      <c r="G45" s="2" t="n">
        <f aca="false">IF(Ongebruikt!T30="ja",1,0)</f>
        <v>1</v>
      </c>
      <c r="H45" s="2" t="n">
        <f aca="false">Ongebruikt!AA30/5</f>
        <v>1</v>
      </c>
      <c r="I45" s="2" t="n">
        <f aca="false">1-Ongebruikt!Z30/5</f>
        <v>0.4</v>
      </c>
      <c r="J45" s="8" t="n">
        <f aca="false">INDEX(Gelijkheid!$C:$C,MATCH(A45,Gelijkheid!$A:$A,0))</f>
        <v>0.185714285714286</v>
      </c>
      <c r="K45" s="9" t="n">
        <v>0</v>
      </c>
      <c r="L45" s="9" t="n">
        <v>0.3</v>
      </c>
      <c r="M45" s="9" t="n">
        <v>0</v>
      </c>
      <c r="N45" s="9" t="n">
        <v>0.5</v>
      </c>
      <c r="O45" s="9" t="n">
        <v>0</v>
      </c>
      <c r="P45" s="2" t="n">
        <f aca="false">($B$4*D45+$B$5*E45+$B$6*F45+$B$7*G45+$B$8*H45+$B$9*I45+$B$10*J45+$B$11*K45+$B$12*L45+$B$13*M45+$B$14*N45+$B$15*O45)/$B$16</f>
        <v>0.321285714285714</v>
      </c>
      <c r="Q45" s="2" t="n">
        <f aca="false">RANK(P45,$P$19:$P$89)</f>
        <v>45</v>
      </c>
    </row>
    <row r="46" customFormat="false" ht="15" hidden="false" customHeight="false" outlineLevel="0" collapsed="false">
      <c r="A46" s="8" t="str">
        <f aca="false">Ongebruikt!A31</f>
        <v>U28</v>
      </c>
      <c r="B46" s="8" t="str">
        <f aca="false">Ongebruikt!B31</f>
        <v>Measurement-based lookup cleanup</v>
      </c>
      <c r="C46" s="2" t="s">
        <v>664</v>
      </c>
      <c r="D46" s="2" t="n">
        <f aca="false">IF(ISNUMBER(Ongebruikt!AB31),MAX(-1,MIN(1,-Ongebruikt!AB31/10)),0)</f>
        <v>-0</v>
      </c>
      <c r="E46" s="2" t="n">
        <f aca="false">IF(ISNUMBER(Ongebruikt!AC31),MAX(-1,MIN(1,-Ongebruikt!AC31/200)),0)</f>
        <v>-0</v>
      </c>
      <c r="F46" s="2" t="n">
        <f aca="false">IF(Ongebruikt!O31="exact",1,0)</f>
        <v>1</v>
      </c>
      <c r="G46" s="2" t="n">
        <f aca="false">IF(Ongebruikt!T31="ja",1,0)</f>
        <v>1</v>
      </c>
      <c r="H46" s="2" t="n">
        <f aca="false">Ongebruikt!AA31/5</f>
        <v>1</v>
      </c>
      <c r="I46" s="2" t="n">
        <f aca="false">1-Ongebruikt!Z31/5</f>
        <v>0.6</v>
      </c>
      <c r="J46" s="8" t="n">
        <f aca="false">INDEX(Gelijkheid!$C:$C,MATCH(A46,Gelijkheid!$A:$A,0))</f>
        <v>0.0142857142857142</v>
      </c>
      <c r="K46" s="9" t="n">
        <v>0</v>
      </c>
      <c r="L46" s="9" t="n">
        <v>0.3</v>
      </c>
      <c r="M46" s="9" t="n">
        <v>0</v>
      </c>
      <c r="N46" s="9" t="n">
        <v>0.5</v>
      </c>
      <c r="O46" s="9" t="n">
        <v>0</v>
      </c>
      <c r="P46" s="2" t="n">
        <f aca="false">($B$4*D46+$B$5*E46+$B$6*F46+$B$7*G46+$B$8*H46+$B$9*I46+$B$10*J46+$B$11*K46+$B$12*L46+$B$13*M46+$B$14*N46+$B$15*O46)/$B$16</f>
        <v>0.370714285714286</v>
      </c>
      <c r="Q46" s="2" t="n">
        <f aca="false">RANK(P46,$P$19:$P$89)</f>
        <v>36</v>
      </c>
    </row>
    <row r="47" customFormat="false" ht="15" hidden="false" customHeight="false" outlineLevel="0" collapsed="false">
      <c r="A47" s="8" t="str">
        <f aca="false">Ongebruikt!A32</f>
        <v>U29</v>
      </c>
      <c r="B47" s="8" t="str">
        <f aca="false">Ongebruikt!B32</f>
        <v>Toom-Cook multiplication</v>
      </c>
      <c r="C47" s="2" t="s">
        <v>664</v>
      </c>
      <c r="D47" s="2" t="n">
        <f aca="false">IF(ISNUMBER(Ongebruikt!AB32),MAX(-1,MIN(1,-Ongebruikt!AB32/10)),0)</f>
        <v>-0.1</v>
      </c>
      <c r="E47" s="2" t="n">
        <f aca="false">IF(ISNUMBER(Ongebruikt!AC32),MAX(-1,MIN(1,-Ongebruikt!AC32/200)),0)</f>
        <v>-1</v>
      </c>
      <c r="F47" s="2" t="n">
        <f aca="false">IF(Ongebruikt!O32="exact",1,0)</f>
        <v>1</v>
      </c>
      <c r="G47" s="2" t="n">
        <f aca="false">IF(Ongebruikt!T32="ja",1,0)</f>
        <v>1</v>
      </c>
      <c r="H47" s="2" t="n">
        <f aca="false">Ongebruikt!AA32/5</f>
        <v>0.6</v>
      </c>
      <c r="I47" s="2" t="n">
        <f aca="false">1-Ongebruikt!Z32/5</f>
        <v>0.2</v>
      </c>
      <c r="J47" s="8" t="n">
        <f aca="false">INDEX(Gelijkheid!$C:$C,MATCH(A47,Gelijkheid!$A:$A,0))</f>
        <v>0.0428571428571428</v>
      </c>
      <c r="K47" s="9" t="n">
        <v>0</v>
      </c>
      <c r="L47" s="9" t="n">
        <v>1</v>
      </c>
      <c r="M47" s="9" t="n">
        <v>0</v>
      </c>
      <c r="N47" s="9" t="n">
        <v>0.5</v>
      </c>
      <c r="O47" s="9" t="n">
        <v>0</v>
      </c>
      <c r="P47" s="2" t="n">
        <f aca="false">($B$4*D47+$B$5*E47+$B$6*F47+$B$7*G47+$B$8*H47+$B$9*I47+$B$10*J47+$B$11*K47+$B$12*L47+$B$13*M47+$B$14*N47+$B$15*O47)/$B$16</f>
        <v>0.202142857142857</v>
      </c>
      <c r="Q47" s="2" t="n">
        <f aca="false">RANK(P47,$P$19:$P$89)</f>
        <v>59</v>
      </c>
    </row>
    <row r="48" customFormat="false" ht="15" hidden="false" customHeight="false" outlineLevel="0" collapsed="false">
      <c r="A48" s="8" t="str">
        <f aca="false">Ongebruikt!A33</f>
        <v>U30</v>
      </c>
      <c r="B48" s="8" t="str">
        <f aca="false">Ongebruikt!B33</f>
        <v>Barrett reduction</v>
      </c>
      <c r="C48" s="2" t="s">
        <v>664</v>
      </c>
      <c r="D48" s="2" t="n">
        <f aca="false">IF(ISNUMBER(Ongebruikt!AB33),MAX(-1,MIN(1,-Ongebruikt!AB33/10)),0)</f>
        <v>-0</v>
      </c>
      <c r="E48" s="2" t="n">
        <f aca="false">IF(ISNUMBER(Ongebruikt!AC33),MAX(-1,MIN(1,-Ongebruikt!AC33/200)),0)</f>
        <v>-1</v>
      </c>
      <c r="F48" s="2" t="n">
        <f aca="false">IF(Ongebruikt!O33="exact",1,0)</f>
        <v>1</v>
      </c>
      <c r="G48" s="2" t="n">
        <f aca="false">IF(Ongebruikt!T33="ja",1,0)</f>
        <v>1</v>
      </c>
      <c r="H48" s="2" t="n">
        <f aca="false">Ongebruikt!AA33/5</f>
        <v>1</v>
      </c>
      <c r="I48" s="2" t="n">
        <f aca="false">1-Ongebruikt!Z33/5</f>
        <v>0.6</v>
      </c>
      <c r="J48" s="8" t="n">
        <f aca="false">INDEX(Gelijkheid!$C:$C,MATCH(A48,Gelijkheid!$A:$A,0))</f>
        <v>0.0285714285714286</v>
      </c>
      <c r="K48" s="9" t="n">
        <v>0.3</v>
      </c>
      <c r="L48" s="9" t="n">
        <v>1</v>
      </c>
      <c r="M48" s="9" t="n">
        <v>0</v>
      </c>
      <c r="N48" s="9" t="n">
        <v>0.5</v>
      </c>
      <c r="O48" s="9" t="n">
        <v>0</v>
      </c>
      <c r="P48" s="2" t="n">
        <f aca="false">($B$4*D48+$B$5*E48+$B$6*F48+$B$7*G48+$B$8*H48+$B$9*I48+$B$10*J48+$B$11*K48+$B$12*L48+$B$13*M48+$B$14*N48+$B$15*O48)/$B$16</f>
        <v>0.286428571428571</v>
      </c>
      <c r="Q48" s="2" t="n">
        <f aca="false">RANK(P48,$P$19:$P$89)</f>
        <v>50</v>
      </c>
    </row>
    <row r="49" customFormat="false" ht="15" hidden="false" customHeight="false" outlineLevel="0" collapsed="false">
      <c r="A49" s="8" t="str">
        <f aca="false">Ongebruikt!A34</f>
        <v>U31</v>
      </c>
      <c r="B49" s="8" t="str">
        <f aca="false">Ongebruikt!B34</f>
        <v>Integer cofactor tracking (growing cofactors, register sharing)</v>
      </c>
      <c r="C49" s="2" t="s">
        <v>664</v>
      </c>
      <c r="D49" s="2" t="n">
        <f aca="false">IF(ISNUMBER(Ongebruikt!AB34),MAX(-1,MIN(1,-Ongebruikt!AB34/10)),0)</f>
        <v>-0.5</v>
      </c>
      <c r="E49" s="2" t="n">
        <f aca="false">IF(ISNUMBER(Ongebruikt!AC34),MAX(-1,MIN(1,-Ongebruikt!AC34/200)),0)</f>
        <v>-1</v>
      </c>
      <c r="F49" s="2" t="n">
        <f aca="false">IF(Ongebruikt!O34="exact",1,0)</f>
        <v>1</v>
      </c>
      <c r="G49" s="2" t="n">
        <f aca="false">IF(Ongebruikt!T34="ja",1,0)</f>
        <v>1</v>
      </c>
      <c r="H49" s="2" t="n">
        <f aca="false">Ongebruikt!AA34/5</f>
        <v>0.6</v>
      </c>
      <c r="I49" s="2" t="n">
        <f aca="false">1-Ongebruikt!Z34/5</f>
        <v>0.2</v>
      </c>
      <c r="J49" s="8" t="n">
        <f aca="false">INDEX(Gelijkheid!$C:$C,MATCH(A49,Gelijkheid!$A:$A,0))</f>
        <v>0.0142857142857142</v>
      </c>
      <c r="K49" s="9" t="n">
        <v>1</v>
      </c>
      <c r="L49" s="9" t="n">
        <v>0.3</v>
      </c>
      <c r="M49" s="9" t="n">
        <v>0</v>
      </c>
      <c r="N49" s="9" t="n">
        <v>0.5</v>
      </c>
      <c r="O49" s="9" t="n">
        <v>1</v>
      </c>
      <c r="P49" s="2" t="n">
        <f aca="false">($B$4*D49+$B$5*E49+$B$6*F49+$B$7*G49+$B$8*H49+$B$9*I49+$B$10*J49+$B$11*K49+$B$12*L49+$B$13*M49+$B$14*N49+$B$15*O49)/$B$16</f>
        <v>0.255714285714286</v>
      </c>
      <c r="Q49" s="2" t="n">
        <f aca="false">RANK(P49,$P$19:$P$89)</f>
        <v>56</v>
      </c>
    </row>
    <row r="50" customFormat="false" ht="15" hidden="false" customHeight="false" outlineLevel="0" collapsed="false">
      <c r="A50" s="8" t="str">
        <f aca="false">Ongebruikt!A35</f>
        <v>U32</v>
      </c>
      <c r="B50" s="8" t="str">
        <f aca="false">Ongebruikt!B35</f>
        <v>Base-k transcript packing (Jump-2 base-5)</v>
      </c>
      <c r="C50" s="2" t="s">
        <v>664</v>
      </c>
      <c r="D50" s="2" t="n">
        <f aca="false">IF(ISNUMBER(Ongebruikt!AB35),MAX(-1,MIN(1,-Ongebruikt!AB35/10)),0)</f>
        <v>-0.1</v>
      </c>
      <c r="E50" s="2" t="n">
        <f aca="false">IF(ISNUMBER(Ongebruikt!AC35),MAX(-1,MIN(1,-Ongebruikt!AC35/200)),0)</f>
        <v>0.1</v>
      </c>
      <c r="F50" s="2" t="n">
        <f aca="false">IF(Ongebruikt!O35="exact",1,0)</f>
        <v>1</v>
      </c>
      <c r="G50" s="2" t="n">
        <f aca="false">IF(Ongebruikt!T35="ja",1,0)</f>
        <v>1</v>
      </c>
      <c r="H50" s="2" t="n">
        <f aca="false">Ongebruikt!AA35/5</f>
        <v>0.6</v>
      </c>
      <c r="I50" s="2" t="n">
        <f aca="false">1-Ongebruikt!Z35/5</f>
        <v>0.4</v>
      </c>
      <c r="J50" s="8" t="n">
        <f aca="false">INDEX(Gelijkheid!$C:$C,MATCH(A50,Gelijkheid!$A:$A,0))</f>
        <v>0</v>
      </c>
      <c r="K50" s="9" t="n">
        <v>0.3</v>
      </c>
      <c r="L50" s="9" t="n">
        <v>0</v>
      </c>
      <c r="M50" s="9" t="n">
        <v>1</v>
      </c>
      <c r="N50" s="9" t="n">
        <v>0.5</v>
      </c>
      <c r="O50" s="9" t="n">
        <v>1</v>
      </c>
      <c r="P50" s="2" t="n">
        <f aca="false">($B$4*D50+$B$5*E50+$B$6*F50+$B$7*G50+$B$8*H50+$B$9*I50+$B$10*J50+$B$11*K50+$B$12*L50+$B$13*M50+$B$14*N50+$B$15*O50)/$B$16</f>
        <v>0.455</v>
      </c>
      <c r="Q50" s="2" t="n">
        <f aca="false">RANK(P50,$P$19:$P$89)</f>
        <v>14</v>
      </c>
    </row>
    <row r="51" customFormat="false" ht="15" hidden="false" customHeight="false" outlineLevel="0" collapsed="false">
      <c r="A51" s="8" t="str">
        <f aca="false">Ongebruikt!A36</f>
        <v>U33</v>
      </c>
      <c r="B51" s="8" t="str">
        <f aca="false">Ongebruikt!B36</f>
        <v>Batch inversion (Montgomery trick)</v>
      </c>
      <c r="C51" s="2" t="s">
        <v>664</v>
      </c>
      <c r="D51" s="2" t="n">
        <f aca="false">IF(ISNUMBER(Ongebruikt!AB36),MAX(-1,MIN(1,-Ongebruikt!AB36/10)),0)</f>
        <v>-0</v>
      </c>
      <c r="E51" s="2" t="n">
        <f aca="false">IF(ISNUMBER(Ongebruikt!AC36),MAX(-1,MIN(1,-Ongebruikt!AC36/200)),0)</f>
        <v>-1</v>
      </c>
      <c r="F51" s="2" t="n">
        <f aca="false">IF(Ongebruikt!O36="exact",1,0)</f>
        <v>1</v>
      </c>
      <c r="G51" s="2" t="n">
        <f aca="false">IF(Ongebruikt!T36="ja",1,0)</f>
        <v>1</v>
      </c>
      <c r="H51" s="2" t="n">
        <f aca="false">Ongebruikt!AA36/5</f>
        <v>1</v>
      </c>
      <c r="I51" s="2" t="n">
        <f aca="false">1-Ongebruikt!Z36/5</f>
        <v>0.4</v>
      </c>
      <c r="J51" s="8" t="n">
        <f aca="false">INDEX(Gelijkheid!$C:$C,MATCH(A51,Gelijkheid!$A:$A,0))</f>
        <v>0</v>
      </c>
      <c r="K51" s="9" t="n">
        <v>1</v>
      </c>
      <c r="L51" s="9" t="n">
        <v>0.3</v>
      </c>
      <c r="M51" s="9" t="n">
        <v>0</v>
      </c>
      <c r="N51" s="9" t="n">
        <v>0.5</v>
      </c>
      <c r="O51" s="9" t="n">
        <v>1</v>
      </c>
      <c r="P51" s="2" t="n">
        <f aca="false">($B$4*D51+$B$5*E51+$B$6*F51+$B$7*G51+$B$8*H51+$B$9*I51+$B$10*J51+$B$11*K51+$B$12*L51+$B$13*M51+$B$14*N51+$B$15*O51)/$B$16</f>
        <v>0.36</v>
      </c>
      <c r="Q51" s="2" t="n">
        <f aca="false">RANK(P51,$P$19:$P$89)</f>
        <v>39</v>
      </c>
    </row>
    <row r="52" customFormat="false" ht="15" hidden="false" customHeight="false" outlineLevel="0" collapsed="false">
      <c r="A52" s="8" t="str">
        <f aca="false">Ongebruikt!A37</f>
        <v>U34</v>
      </c>
      <c r="B52" s="8" t="str">
        <f aca="false">Ongebruikt!B37</f>
        <v>2-adic Hensel/Newton inversion</v>
      </c>
      <c r="C52" s="2" t="s">
        <v>664</v>
      </c>
      <c r="D52" s="2" t="n">
        <f aca="false">IF(ISNUMBER(Ongebruikt!AB37),MAX(-1,MIN(1,-Ongebruikt!AB37/10)),0)</f>
        <v>0</v>
      </c>
      <c r="E52" s="2" t="n">
        <f aca="false">IF(ISNUMBER(Ongebruikt!AC37),MAX(-1,MIN(1,-Ongebruikt!AC37/200)),0)</f>
        <v>0</v>
      </c>
      <c r="F52" s="2" t="n">
        <f aca="false">IF(Ongebruikt!O37="exact",1,0)</f>
        <v>1</v>
      </c>
      <c r="G52" s="2" t="n">
        <f aca="false">IF(Ongebruikt!T37="ja",1,0)</f>
        <v>1</v>
      </c>
      <c r="H52" s="2" t="n">
        <f aca="false">Ongebruikt!AA37/5</f>
        <v>0.8</v>
      </c>
      <c r="I52" s="2" t="n">
        <f aca="false">1-Ongebruikt!Z37/5</f>
        <v>0.4</v>
      </c>
      <c r="J52" s="8" t="n">
        <f aca="false">INDEX(Gelijkheid!$C:$C,MATCH(A52,Gelijkheid!$A:$A,0))</f>
        <v>0.0142857142857142</v>
      </c>
      <c r="K52" s="9" t="n">
        <v>1</v>
      </c>
      <c r="L52" s="9" t="n">
        <v>0.3</v>
      </c>
      <c r="M52" s="9" t="n">
        <v>0</v>
      </c>
      <c r="N52" s="9" t="n">
        <v>0</v>
      </c>
      <c r="O52" s="9" t="n">
        <v>0</v>
      </c>
      <c r="P52" s="2" t="n">
        <f aca="false">($B$4*D52+$B$5*E52+$B$6*F52+$B$7*G52+$B$8*H52+$B$9*I52+$B$10*J52+$B$11*K52+$B$12*L52+$B$13*M52+$B$14*N52+$B$15*O52)/$B$16</f>
        <v>0.425714285714286</v>
      </c>
      <c r="Q52" s="2" t="n">
        <f aca="false">RANK(P52,$P$19:$P$89)</f>
        <v>16</v>
      </c>
    </row>
    <row r="53" customFormat="false" ht="15" hidden="false" customHeight="false" outlineLevel="0" collapsed="false">
      <c r="A53" s="8" t="str">
        <f aca="false">Ongebruikt!A38</f>
        <v>U35</v>
      </c>
      <c r="B53" s="8" t="str">
        <f aca="false">Ongebruikt!B38</f>
        <v>Square-only multiplication (quarter squares)</v>
      </c>
      <c r="C53" s="2" t="s">
        <v>664</v>
      </c>
      <c r="D53" s="2" t="n">
        <f aca="false">IF(ISNUMBER(Ongebruikt!AB38),MAX(-1,MIN(1,-Ongebruikt!AB38/10)),0)</f>
        <v>-0</v>
      </c>
      <c r="E53" s="2" t="n">
        <f aca="false">IF(ISNUMBER(Ongebruikt!AC38),MAX(-1,MIN(1,-Ongebruikt!AC38/200)),0)</f>
        <v>-1</v>
      </c>
      <c r="F53" s="2" t="n">
        <f aca="false">IF(Ongebruikt!O38="exact",1,0)</f>
        <v>1</v>
      </c>
      <c r="G53" s="2" t="n">
        <f aca="false">IF(Ongebruikt!T38="ja",1,0)</f>
        <v>1</v>
      </c>
      <c r="H53" s="2" t="n">
        <f aca="false">Ongebruikt!AA38/5</f>
        <v>1</v>
      </c>
      <c r="I53" s="2" t="n">
        <f aca="false">1-Ongebruikt!Z38/5</f>
        <v>0.6</v>
      </c>
      <c r="J53" s="8" t="n">
        <f aca="false">INDEX(Gelijkheid!$C:$C,MATCH(A53,Gelijkheid!$A:$A,0))</f>
        <v>0.0285714285714286</v>
      </c>
      <c r="K53" s="9" t="n">
        <v>0</v>
      </c>
      <c r="L53" s="9" t="n">
        <v>1</v>
      </c>
      <c r="M53" s="9" t="n">
        <v>0</v>
      </c>
      <c r="N53" s="9" t="n">
        <v>0.5</v>
      </c>
      <c r="O53" s="9" t="n">
        <v>1</v>
      </c>
      <c r="P53" s="2" t="n">
        <f aca="false">($B$4*D53+$B$5*E53+$B$6*F53+$B$7*G53+$B$8*H53+$B$9*I53+$B$10*J53+$B$11*K53+$B$12*L53+$B$13*M53+$B$14*N53+$B$15*O53)/$B$16</f>
        <v>0.306428571428571</v>
      </c>
      <c r="Q53" s="2" t="n">
        <f aca="false">RANK(P53,$P$19:$P$89)</f>
        <v>46</v>
      </c>
    </row>
    <row r="54" customFormat="false" ht="15" hidden="false" customHeight="false" outlineLevel="0" collapsed="false">
      <c r="A54" s="8" t="str">
        <f aca="false">Ongebruikt!A39</f>
        <v>U36</v>
      </c>
      <c r="B54" s="8" t="str">
        <f aca="false">Ongebruikt!B39</f>
        <v>ZK-proof validation of withheld circuits</v>
      </c>
      <c r="C54" s="2" t="s">
        <v>664</v>
      </c>
      <c r="D54" s="2" t="n">
        <f aca="false">IF(ISNUMBER(Ongebruikt!AB39),MAX(-1,MIN(1,-Ongebruikt!AB39/10)),0)</f>
        <v>0</v>
      </c>
      <c r="E54" s="2" t="n">
        <f aca="false">IF(ISNUMBER(Ongebruikt!AC39),MAX(-1,MIN(1,-Ongebruikt!AC39/200)),0)</f>
        <v>0</v>
      </c>
      <c r="F54" s="2" t="n">
        <f aca="false">IF(Ongebruikt!O39="exact",1,0)</f>
        <v>1</v>
      </c>
      <c r="G54" s="2" t="n">
        <f aca="false">IF(Ongebruikt!T39="ja",1,0)</f>
        <v>1</v>
      </c>
      <c r="H54" s="2" t="n">
        <f aca="false">Ongebruikt!AA39/5</f>
        <v>0.6</v>
      </c>
      <c r="I54" s="2" t="n">
        <f aca="false">1-Ongebruikt!Z39/5</f>
        <v>0</v>
      </c>
      <c r="J54" s="8" t="n">
        <f aca="false">INDEX(Gelijkheid!$C:$C,MATCH(A54,Gelijkheid!$A:$A,0))</f>
        <v>0.0428571428571428</v>
      </c>
      <c r="K54" s="9" t="n">
        <v>0</v>
      </c>
      <c r="L54" s="9" t="n">
        <v>0</v>
      </c>
      <c r="M54" s="9" t="n">
        <v>0</v>
      </c>
      <c r="N54" s="9" t="n">
        <v>0</v>
      </c>
      <c r="O54" s="9" t="n">
        <v>0</v>
      </c>
      <c r="P54" s="2" t="n">
        <f aca="false">($B$4*D54+$B$5*E54+$B$6*F54+$B$7*G54+$B$8*H54+$B$9*I54+$B$10*J54+$B$11*K54+$B$12*L54+$B$13*M54+$B$14*N54+$B$15*O54)/$B$16</f>
        <v>0.282142857142857</v>
      </c>
      <c r="Q54" s="2" t="n">
        <f aca="false">RANK(P54,$P$19:$P$89)</f>
        <v>52</v>
      </c>
    </row>
    <row r="55" customFormat="false" ht="15" hidden="false" customHeight="false" outlineLevel="0" collapsed="false">
      <c r="A55" s="8" t="str">
        <f aca="false">Tekstboek!A4</f>
        <v>B01</v>
      </c>
      <c r="B55" s="8" t="str">
        <f aca="false">Tekstboek!B4</f>
        <v>[2 qubits] CNOT / CZ</v>
      </c>
      <c r="C55" s="2" t="s">
        <v>665</v>
      </c>
      <c r="D55" s="2" t="n">
        <f aca="false">IF(ISNUMBER(Tekstboek!AB4),MAX(-1,MIN(1,-Tekstboek!AB4/10)),0)</f>
        <v>-0</v>
      </c>
      <c r="E55" s="2" t="n">
        <f aca="false">IF(ISNUMBER(Tekstboek!AC4),MAX(-1,MIN(1,-Tekstboek!AC4/200)),0)</f>
        <v>-0</v>
      </c>
      <c r="F55" s="2" t="n">
        <f aca="false">IF(Tekstboek!O4="exact",1,0)</f>
        <v>1</v>
      </c>
      <c r="G55" s="2" t="n">
        <f aca="false">IF(Tekstboek!T4="ja",1,0)</f>
        <v>1</v>
      </c>
      <c r="H55" s="2" t="n">
        <f aca="false">Tekstboek!AA4/5</f>
        <v>1</v>
      </c>
      <c r="I55" s="2" t="n">
        <f aca="false">1-Tekstboek!Z4/5</f>
        <v>0.8</v>
      </c>
      <c r="J55" s="8" t="n">
        <f aca="false">INDEX(Gelijkheid!$C:$C,MATCH(A55,Gelijkheid!$A:$A,0))</f>
        <v>0.114285714285714</v>
      </c>
      <c r="K55" s="9" t="n">
        <v>0</v>
      </c>
      <c r="L55" s="9" t="n">
        <v>0</v>
      </c>
      <c r="M55" s="9" t="n">
        <v>0</v>
      </c>
      <c r="N55" s="9" t="n">
        <v>0.5</v>
      </c>
      <c r="O55" s="9" t="n">
        <v>0.5</v>
      </c>
      <c r="P55" s="2" t="n">
        <f aca="false">($B$4*D55+$B$5*E55+$B$6*F55+$B$7*G55+$B$8*H55+$B$9*I55+$B$10*J55+$B$11*K55+$B$12*L55+$B$13*M55+$B$14*N55+$B$15*O55)/$B$16</f>
        <v>0.395714285714286</v>
      </c>
      <c r="Q55" s="2" t="n">
        <f aca="false">RANK(P55,$P$19:$P$89)</f>
        <v>26</v>
      </c>
    </row>
    <row r="56" customFormat="false" ht="15" hidden="false" customHeight="false" outlineLevel="0" collapsed="false">
      <c r="A56" s="8" t="str">
        <f aca="false">Tekstboek!A5</f>
        <v>B02</v>
      </c>
      <c r="B56" s="8" t="str">
        <f aca="false">Tekstboek!B5</f>
        <v>[2 qubits] SWAP (3 CNOT) / wire relabel</v>
      </c>
      <c r="C56" s="2" t="s">
        <v>665</v>
      </c>
      <c r="D56" s="2" t="n">
        <f aca="false">IF(ISNUMBER(Tekstboek!AB5),MAX(-1,MIN(1,-Tekstboek!AB5/10)),0)</f>
        <v>-0</v>
      </c>
      <c r="E56" s="2" t="n">
        <f aca="false">IF(ISNUMBER(Tekstboek!AC5),MAX(-1,MIN(1,-Tekstboek!AC5/200)),0)</f>
        <v>-0</v>
      </c>
      <c r="F56" s="2" t="n">
        <f aca="false">IF(Tekstboek!O5="exact",1,0)</f>
        <v>1</v>
      </c>
      <c r="G56" s="2" t="n">
        <f aca="false">IF(Tekstboek!T5="ja",1,0)</f>
        <v>1</v>
      </c>
      <c r="H56" s="2" t="n">
        <f aca="false">Tekstboek!AA5/5</f>
        <v>1</v>
      </c>
      <c r="I56" s="2" t="n">
        <f aca="false">1-Tekstboek!Z5/5</f>
        <v>0.8</v>
      </c>
      <c r="J56" s="8" t="n">
        <f aca="false">INDEX(Gelijkheid!$C:$C,MATCH(A56,Gelijkheid!$A:$A,0))</f>
        <v>0.0428571428571428</v>
      </c>
      <c r="K56" s="9" t="n">
        <v>0</v>
      </c>
      <c r="L56" s="9" t="n">
        <v>0</v>
      </c>
      <c r="M56" s="9" t="n">
        <v>0</v>
      </c>
      <c r="N56" s="9" t="n">
        <v>0.5</v>
      </c>
      <c r="O56" s="9" t="n">
        <v>0.5</v>
      </c>
      <c r="P56" s="2" t="n">
        <f aca="false">($B$4*D56+$B$5*E56+$B$6*F56+$B$7*G56+$B$8*H56+$B$9*I56+$B$10*J56+$B$11*K56+$B$12*L56+$B$13*M56+$B$14*N56+$B$15*O56)/$B$16</f>
        <v>0.392142857142857</v>
      </c>
      <c r="Q56" s="2" t="n">
        <f aca="false">RANK(P56,$P$19:$P$89)</f>
        <v>28</v>
      </c>
    </row>
    <row r="57" customFormat="false" ht="15" hidden="false" customHeight="false" outlineLevel="0" collapsed="false">
      <c r="A57" s="8" t="str">
        <f aca="false">Tekstboek!A6</f>
        <v>B03</v>
      </c>
      <c r="B57" s="8" t="str">
        <f aca="false">Tekstboek!B6</f>
        <v>[2 qubits] Z-basis measurement + reset</v>
      </c>
      <c r="C57" s="2" t="s">
        <v>665</v>
      </c>
      <c r="D57" s="2" t="n">
        <f aca="false">IF(ISNUMBER(Tekstboek!AB6),MAX(-1,MIN(1,-Tekstboek!AB6/10)),0)</f>
        <v>-0</v>
      </c>
      <c r="E57" s="2" t="n">
        <f aca="false">IF(ISNUMBER(Tekstboek!AC6),MAX(-1,MIN(1,-Tekstboek!AC6/200)),0)</f>
        <v>-0</v>
      </c>
      <c r="F57" s="2" t="n">
        <f aca="false">IF(Tekstboek!O6="exact",1,0)</f>
        <v>1</v>
      </c>
      <c r="G57" s="2" t="n">
        <f aca="false">IF(Tekstboek!T6="ja",1,0)</f>
        <v>1</v>
      </c>
      <c r="H57" s="2" t="n">
        <f aca="false">Tekstboek!AA6/5</f>
        <v>1</v>
      </c>
      <c r="I57" s="2" t="n">
        <f aca="false">1-Tekstboek!Z6/5</f>
        <v>0.8</v>
      </c>
      <c r="J57" s="8" t="n">
        <f aca="false">INDEX(Gelijkheid!$C:$C,MATCH(A57,Gelijkheid!$A:$A,0))</f>
        <v>0.1</v>
      </c>
      <c r="K57" s="9" t="n">
        <v>0</v>
      </c>
      <c r="L57" s="9" t="n">
        <v>0</v>
      </c>
      <c r="M57" s="9" t="n">
        <v>0</v>
      </c>
      <c r="N57" s="9" t="n">
        <v>0.5</v>
      </c>
      <c r="O57" s="9" t="n">
        <v>0.5</v>
      </c>
      <c r="P57" s="2" t="n">
        <f aca="false">($B$4*D57+$B$5*E57+$B$6*F57+$B$7*G57+$B$8*H57+$B$9*I57+$B$10*J57+$B$11*K57+$B$12*L57+$B$13*M57+$B$14*N57+$B$15*O57)/$B$16</f>
        <v>0.395</v>
      </c>
      <c r="Q57" s="2" t="n">
        <f aca="false">RANK(P57,$P$19:$P$89)</f>
        <v>27</v>
      </c>
    </row>
    <row r="58" customFormat="false" ht="15" hidden="false" customHeight="false" outlineLevel="0" collapsed="false">
      <c r="A58" s="8" t="str">
        <f aca="false">Tekstboek!A7</f>
        <v>B04</v>
      </c>
      <c r="B58" s="8" t="str">
        <f aca="false">Tekstboek!B7</f>
        <v>[2 qubits] X-basis measurement (HMR) + classically controlled CZ</v>
      </c>
      <c r="C58" s="2" t="s">
        <v>665</v>
      </c>
      <c r="D58" s="2" t="n">
        <f aca="false">IF(ISNUMBER(Tekstboek!AB7),MAX(-1,MIN(1,-Tekstboek!AB7/10)),0)</f>
        <v>-0</v>
      </c>
      <c r="E58" s="2" t="n">
        <f aca="false">IF(ISNUMBER(Tekstboek!AC7),MAX(-1,MIN(1,-Tekstboek!AC7/200)),0)</f>
        <v>-0</v>
      </c>
      <c r="F58" s="2" t="n">
        <f aca="false">IF(Tekstboek!O7="exact",1,0)</f>
        <v>1</v>
      </c>
      <c r="G58" s="2" t="n">
        <f aca="false">IF(Tekstboek!T7="ja",1,0)</f>
        <v>1</v>
      </c>
      <c r="H58" s="2" t="n">
        <f aca="false">Tekstboek!AA7/5</f>
        <v>1</v>
      </c>
      <c r="I58" s="2" t="n">
        <f aca="false">1-Tekstboek!Z7/5</f>
        <v>0.6</v>
      </c>
      <c r="J58" s="8" t="n">
        <f aca="false">INDEX(Gelijkheid!$C:$C,MATCH(A58,Gelijkheid!$A:$A,0))</f>
        <v>0.0285714285714286</v>
      </c>
      <c r="K58" s="9" t="n">
        <v>0</v>
      </c>
      <c r="L58" s="9" t="n">
        <v>0</v>
      </c>
      <c r="M58" s="9" t="n">
        <v>0</v>
      </c>
      <c r="N58" s="9" t="n">
        <v>0.5</v>
      </c>
      <c r="O58" s="9" t="n">
        <v>0.5</v>
      </c>
      <c r="P58" s="2" t="n">
        <f aca="false">($B$4*D58+$B$5*E58+$B$6*F58+$B$7*G58+$B$8*H58+$B$9*I58+$B$10*J58+$B$11*K58+$B$12*L58+$B$13*M58+$B$14*N58+$B$15*O58)/$B$16</f>
        <v>0.381428571428571</v>
      </c>
      <c r="Q58" s="2" t="n">
        <f aca="false">RANK(P58,$P$19:$P$89)</f>
        <v>34</v>
      </c>
    </row>
    <row r="59" customFormat="false" ht="15" hidden="false" customHeight="false" outlineLevel="0" collapsed="false">
      <c r="A59" s="8" t="str">
        <f aca="false">Tekstboek!A8</f>
        <v>B05</v>
      </c>
      <c r="B59" s="8" t="str">
        <f aca="false">Tekstboek!B8</f>
        <v>[3 qubits] Toffoli (CCX) / CCZ</v>
      </c>
      <c r="C59" s="2" t="s">
        <v>665</v>
      </c>
      <c r="D59" s="2" t="n">
        <f aca="false">IF(ISNUMBER(Tekstboek!AB8),MAX(-1,MIN(1,-Tekstboek!AB8/10)),0)</f>
        <v>-0</v>
      </c>
      <c r="E59" s="2" t="n">
        <f aca="false">IF(ISNUMBER(Tekstboek!AC8),MAX(-1,MIN(1,-Tekstboek!AC8/200)),0)</f>
        <v>-0</v>
      </c>
      <c r="F59" s="2" t="n">
        <f aca="false">IF(Tekstboek!O8="exact",1,0)</f>
        <v>1</v>
      </c>
      <c r="G59" s="2" t="n">
        <f aca="false">IF(Tekstboek!T8="ja",1,0)</f>
        <v>1</v>
      </c>
      <c r="H59" s="2" t="n">
        <f aca="false">Tekstboek!AA8/5</f>
        <v>1</v>
      </c>
      <c r="I59" s="2" t="n">
        <f aca="false">1-Tekstboek!Z8/5</f>
        <v>0.8</v>
      </c>
      <c r="J59" s="8" t="n">
        <f aca="false">INDEX(Gelijkheid!$C:$C,MATCH(A59,Gelijkheid!$A:$A,0))</f>
        <v>0.15</v>
      </c>
      <c r="K59" s="9" t="n">
        <v>0</v>
      </c>
      <c r="L59" s="9" t="n">
        <v>0</v>
      </c>
      <c r="M59" s="9" t="n">
        <v>0</v>
      </c>
      <c r="N59" s="9" t="n">
        <v>0.5</v>
      </c>
      <c r="O59" s="9" t="n">
        <v>0.5</v>
      </c>
      <c r="P59" s="2" t="n">
        <f aca="false">($B$4*D59+$B$5*E59+$B$6*F59+$B$7*G59+$B$8*H59+$B$9*I59+$B$10*J59+$B$11*K59+$B$12*L59+$B$13*M59+$B$14*N59+$B$15*O59)/$B$16</f>
        <v>0.3975</v>
      </c>
      <c r="Q59" s="2" t="n">
        <f aca="false">RANK(P59,$P$19:$P$89)</f>
        <v>23</v>
      </c>
    </row>
    <row r="60" customFormat="false" ht="15" hidden="false" customHeight="false" outlineLevel="0" collapsed="false">
      <c r="A60" s="8" t="str">
        <f aca="false">Tekstboek!A9</f>
        <v>B06</v>
      </c>
      <c r="B60" s="8" t="str">
        <f aca="false">Tekstboek!B9</f>
        <v>[3 qubits] Fredkin (controlled SWAP)</v>
      </c>
      <c r="C60" s="2" t="s">
        <v>665</v>
      </c>
      <c r="D60" s="2" t="n">
        <f aca="false">IF(ISNUMBER(Tekstboek!AB9),MAX(-1,MIN(1,-Tekstboek!AB9/10)),0)</f>
        <v>-0</v>
      </c>
      <c r="E60" s="2" t="n">
        <f aca="false">IF(ISNUMBER(Tekstboek!AC9),MAX(-1,MIN(1,-Tekstboek!AC9/200)),0)</f>
        <v>-0</v>
      </c>
      <c r="F60" s="2" t="n">
        <f aca="false">IF(Tekstboek!O9="exact",1,0)</f>
        <v>1</v>
      </c>
      <c r="G60" s="2" t="n">
        <f aca="false">IF(Tekstboek!T9="ja",1,0)</f>
        <v>1</v>
      </c>
      <c r="H60" s="2" t="n">
        <f aca="false">Tekstboek!AA9/5</f>
        <v>1</v>
      </c>
      <c r="I60" s="2" t="n">
        <f aca="false">1-Tekstboek!Z9/5</f>
        <v>0.8</v>
      </c>
      <c r="J60" s="8" t="n">
        <f aca="false">INDEX(Gelijkheid!$C:$C,MATCH(A60,Gelijkheid!$A:$A,0))</f>
        <v>0.15</v>
      </c>
      <c r="K60" s="9" t="n">
        <v>0</v>
      </c>
      <c r="L60" s="9" t="n">
        <v>0</v>
      </c>
      <c r="M60" s="9" t="n">
        <v>0</v>
      </c>
      <c r="N60" s="9" t="n">
        <v>0.5</v>
      </c>
      <c r="O60" s="9" t="n">
        <v>0.5</v>
      </c>
      <c r="P60" s="2" t="n">
        <f aca="false">($B$4*D60+$B$5*E60+$B$6*F60+$B$7*G60+$B$8*H60+$B$9*I60+$B$10*J60+$B$11*K60+$B$12*L60+$B$13*M60+$B$14*N60+$B$15*O60)/$B$16</f>
        <v>0.3975</v>
      </c>
      <c r="Q60" s="2" t="n">
        <f aca="false">RANK(P60,$P$19:$P$89)</f>
        <v>23</v>
      </c>
    </row>
    <row r="61" customFormat="false" ht="15" hidden="false" customHeight="false" outlineLevel="0" collapsed="false">
      <c r="A61" s="8" t="str">
        <f aca="false">Tekstboek!A10</f>
        <v>B07</v>
      </c>
      <c r="B61" s="8" t="str">
        <f aca="false">Tekstboek!B10</f>
        <v>[3 qubits] Peres gate (Toffoli + CNOT)</v>
      </c>
      <c r="C61" s="2" t="s">
        <v>665</v>
      </c>
      <c r="D61" s="2" t="n">
        <f aca="false">IF(ISNUMBER(Tekstboek!AB10),MAX(-1,MIN(1,-Tekstboek!AB10/10)),0)</f>
        <v>-0</v>
      </c>
      <c r="E61" s="2" t="n">
        <f aca="false">IF(ISNUMBER(Tekstboek!AC10),MAX(-1,MIN(1,-Tekstboek!AC10/200)),0)</f>
        <v>-0</v>
      </c>
      <c r="F61" s="2" t="n">
        <f aca="false">IF(Tekstboek!O10="exact",1,0)</f>
        <v>1</v>
      </c>
      <c r="G61" s="2" t="n">
        <f aca="false">IF(Tekstboek!T10="ja",1,0)</f>
        <v>1</v>
      </c>
      <c r="H61" s="2" t="n">
        <f aca="false">Tekstboek!AA10/5</f>
        <v>1</v>
      </c>
      <c r="I61" s="2" t="n">
        <f aca="false">1-Tekstboek!Z10/5</f>
        <v>0.8</v>
      </c>
      <c r="J61" s="8" t="n">
        <f aca="false">INDEX(Gelijkheid!$C:$C,MATCH(A61,Gelijkheid!$A:$A,0))</f>
        <v>0.15</v>
      </c>
      <c r="K61" s="9" t="n">
        <v>0</v>
      </c>
      <c r="L61" s="9" t="n">
        <v>0</v>
      </c>
      <c r="M61" s="9" t="n">
        <v>0</v>
      </c>
      <c r="N61" s="9" t="n">
        <v>0.5</v>
      </c>
      <c r="O61" s="9" t="n">
        <v>0.5</v>
      </c>
      <c r="P61" s="2" t="n">
        <f aca="false">($B$4*D61+$B$5*E61+$B$6*F61+$B$7*G61+$B$8*H61+$B$9*I61+$B$10*J61+$B$11*K61+$B$12*L61+$B$13*M61+$B$14*N61+$B$15*O61)/$B$16</f>
        <v>0.3975</v>
      </c>
      <c r="Q61" s="2" t="n">
        <f aca="false">RANK(P61,$P$19:$P$89)</f>
        <v>23</v>
      </c>
    </row>
    <row r="62" customFormat="false" ht="15" hidden="false" customHeight="false" outlineLevel="0" collapsed="false">
      <c r="A62" s="8" t="str">
        <f aca="false">Tekstboek!A11</f>
        <v>B08</v>
      </c>
      <c r="B62" s="8" t="str">
        <f aca="false">Tekstboek!B11</f>
        <v>[3 qubits] Temporary logical-AND (measurement uncompute)</v>
      </c>
      <c r="C62" s="2" t="s">
        <v>665</v>
      </c>
      <c r="D62" s="2" t="n">
        <f aca="false">IF(ISNUMBER(Tekstboek!AB11),MAX(-1,MIN(1,-Tekstboek!AB11/10)),0)</f>
        <v>-0</v>
      </c>
      <c r="E62" s="2" t="n">
        <f aca="false">IF(ISNUMBER(Tekstboek!AC11),MAX(-1,MIN(1,-Tekstboek!AC11/200)),0)</f>
        <v>-0</v>
      </c>
      <c r="F62" s="2" t="n">
        <f aca="false">IF(Tekstboek!O11="exact",1,0)</f>
        <v>1</v>
      </c>
      <c r="G62" s="2" t="n">
        <f aca="false">IF(Tekstboek!T11="ja",1,0)</f>
        <v>1</v>
      </c>
      <c r="H62" s="2" t="n">
        <f aca="false">Tekstboek!AA11/5</f>
        <v>1</v>
      </c>
      <c r="I62" s="2" t="n">
        <f aca="false">1-Tekstboek!Z11/5</f>
        <v>0.6</v>
      </c>
      <c r="J62" s="8" t="n">
        <f aca="false">INDEX(Gelijkheid!$C:$C,MATCH(A62,Gelijkheid!$A:$A,0))</f>
        <v>0.228571428571429</v>
      </c>
      <c r="K62" s="9" t="n">
        <v>0</v>
      </c>
      <c r="L62" s="9" t="n">
        <v>0</v>
      </c>
      <c r="M62" s="9" t="n">
        <v>0</v>
      </c>
      <c r="N62" s="9" t="n">
        <v>0.5</v>
      </c>
      <c r="O62" s="9" t="n">
        <v>0.5</v>
      </c>
      <c r="P62" s="2" t="n">
        <f aca="false">($B$4*D62+$B$5*E62+$B$6*F62+$B$7*G62+$B$8*H62+$B$9*I62+$B$10*J62+$B$11*K62+$B$12*L62+$B$13*M62+$B$14*N62+$B$15*O62)/$B$16</f>
        <v>0.391428571428571</v>
      </c>
      <c r="Q62" s="2" t="n">
        <f aca="false">RANK(P62,$P$19:$P$89)</f>
        <v>29</v>
      </c>
    </row>
    <row r="63" customFormat="false" ht="15" hidden="false" customHeight="false" outlineLevel="0" collapsed="false">
      <c r="A63" s="8" t="str">
        <f aca="false">Tekstboek!A12</f>
        <v>B09</v>
      </c>
      <c r="B63" s="8" t="str">
        <f aca="false">Tekstboek!B12</f>
        <v>[4 qubits] Half adder (Toffoli + CNOT)</v>
      </c>
      <c r="C63" s="2" t="s">
        <v>665</v>
      </c>
      <c r="D63" s="2" t="n">
        <f aca="false">IF(ISNUMBER(Tekstboek!AB12),MAX(-1,MIN(1,-Tekstboek!AB12/10)),0)</f>
        <v>-0</v>
      </c>
      <c r="E63" s="2" t="n">
        <f aca="false">IF(ISNUMBER(Tekstboek!AC12),MAX(-1,MIN(1,-Tekstboek!AC12/200)),0)</f>
        <v>-0</v>
      </c>
      <c r="F63" s="2" t="n">
        <f aca="false">IF(Tekstboek!O12="exact",1,0)</f>
        <v>1</v>
      </c>
      <c r="G63" s="2" t="n">
        <f aca="false">IF(Tekstboek!T12="ja",1,0)</f>
        <v>1</v>
      </c>
      <c r="H63" s="2" t="n">
        <f aca="false">Tekstboek!AA12/5</f>
        <v>1</v>
      </c>
      <c r="I63" s="2" t="n">
        <f aca="false">1-Tekstboek!Z12/5</f>
        <v>0.8</v>
      </c>
      <c r="J63" s="8" t="n">
        <f aca="false">INDEX(Gelijkheid!$C:$C,MATCH(A63,Gelijkheid!$A:$A,0))</f>
        <v>0.128571428571429</v>
      </c>
      <c r="K63" s="9" t="n">
        <v>0.3</v>
      </c>
      <c r="L63" s="9" t="n">
        <v>1</v>
      </c>
      <c r="M63" s="9" t="n">
        <v>0.3</v>
      </c>
      <c r="N63" s="9" t="n">
        <v>0.5</v>
      </c>
      <c r="O63" s="9" t="n">
        <v>0.5</v>
      </c>
      <c r="P63" s="2" t="n">
        <f aca="false">($B$4*D63+$B$5*E63+$B$6*F63+$B$7*G63+$B$8*H63+$B$9*I63+$B$10*J63+$B$11*K63+$B$12*L63+$B$13*M63+$B$14*N63+$B$15*O63)/$B$16</f>
        <v>0.491428571428571</v>
      </c>
      <c r="Q63" s="2" t="n">
        <f aca="false">RANK(P63,$P$19:$P$89)</f>
        <v>5</v>
      </c>
    </row>
    <row r="64" customFormat="false" ht="15" hidden="false" customHeight="false" outlineLevel="0" collapsed="false">
      <c r="A64" s="8" t="str">
        <f aca="false">Tekstboek!A13</f>
        <v>B10</v>
      </c>
      <c r="B64" s="8" t="str">
        <f aca="false">Tekstboek!B13</f>
        <v>[4 qubits] Full adder MAJ / UMA (Cuccaro)</v>
      </c>
      <c r="C64" s="2" t="s">
        <v>665</v>
      </c>
      <c r="D64" s="2" t="n">
        <f aca="false">IF(ISNUMBER(Tekstboek!AB13),MAX(-1,MIN(1,-Tekstboek!AB13/10)),0)</f>
        <v>-0</v>
      </c>
      <c r="E64" s="2" t="n">
        <f aca="false">IF(ISNUMBER(Tekstboek!AC13),MAX(-1,MIN(1,-Tekstboek!AC13/200)),0)</f>
        <v>-0</v>
      </c>
      <c r="F64" s="2" t="n">
        <f aca="false">IF(Tekstboek!O13="exact",1,0)</f>
        <v>1</v>
      </c>
      <c r="G64" s="2" t="n">
        <f aca="false">IF(Tekstboek!T13="ja",1,0)</f>
        <v>1</v>
      </c>
      <c r="H64" s="2" t="n">
        <f aca="false">Tekstboek!AA13/5</f>
        <v>1</v>
      </c>
      <c r="I64" s="2" t="n">
        <f aca="false">1-Tekstboek!Z13/5</f>
        <v>0.8</v>
      </c>
      <c r="J64" s="8" t="n">
        <f aca="false">INDEX(Gelijkheid!$C:$C,MATCH(A64,Gelijkheid!$A:$A,0))</f>
        <v>0.128571428571429</v>
      </c>
      <c r="K64" s="9" t="n">
        <v>0.3</v>
      </c>
      <c r="L64" s="9" t="n">
        <v>1</v>
      </c>
      <c r="M64" s="9" t="n">
        <v>0.3</v>
      </c>
      <c r="N64" s="9" t="n">
        <v>0.5</v>
      </c>
      <c r="O64" s="9" t="n">
        <v>0.5</v>
      </c>
      <c r="P64" s="2" t="n">
        <f aca="false">($B$4*D64+$B$5*E64+$B$6*F64+$B$7*G64+$B$8*H64+$B$9*I64+$B$10*J64+$B$11*K64+$B$12*L64+$B$13*M64+$B$14*N64+$B$15*O64)/$B$16</f>
        <v>0.491428571428571</v>
      </c>
      <c r="Q64" s="2" t="n">
        <f aca="false">RANK(P64,$P$19:$P$89)</f>
        <v>5</v>
      </c>
    </row>
    <row r="65" customFormat="false" ht="15" hidden="false" customHeight="false" outlineLevel="0" collapsed="false">
      <c r="A65" s="8" t="str">
        <f aca="false">Tekstboek!A14</f>
        <v>B11</v>
      </c>
      <c r="B65" s="8" t="str">
        <f aca="false">Tekstboek!B14</f>
        <v>[n-bit] VBE ripple adder</v>
      </c>
      <c r="C65" s="2" t="s">
        <v>665</v>
      </c>
      <c r="D65" s="2" t="n">
        <f aca="false">IF(ISNUMBER(Tekstboek!AB14),MAX(-1,MIN(1,-Tekstboek!AB14/10)),0)</f>
        <v>-1</v>
      </c>
      <c r="E65" s="2" t="n">
        <f aca="false">IF(ISNUMBER(Tekstboek!AC14),MAX(-1,MIN(1,-Tekstboek!AC14/200)),0)</f>
        <v>-1</v>
      </c>
      <c r="F65" s="2" t="n">
        <f aca="false">IF(Tekstboek!O14="exact",1,0)</f>
        <v>1</v>
      </c>
      <c r="G65" s="2" t="n">
        <f aca="false">IF(Tekstboek!T14="ja",1,0)</f>
        <v>1</v>
      </c>
      <c r="H65" s="2" t="n">
        <f aca="false">Tekstboek!AA14/5</f>
        <v>1</v>
      </c>
      <c r="I65" s="2" t="n">
        <f aca="false">1-Tekstboek!Z14/5</f>
        <v>0.8</v>
      </c>
      <c r="J65" s="8" t="n">
        <f aca="false">INDEX(Gelijkheid!$C:$C,MATCH(A65,Gelijkheid!$A:$A,0))</f>
        <v>0.114285714285714</v>
      </c>
      <c r="K65" s="9" t="n">
        <v>0.3</v>
      </c>
      <c r="L65" s="9" t="n">
        <v>1</v>
      </c>
      <c r="M65" s="9" t="n">
        <v>0.3</v>
      </c>
      <c r="N65" s="9" t="n">
        <v>0.5</v>
      </c>
      <c r="O65" s="9" t="n">
        <v>0.5</v>
      </c>
      <c r="P65" s="2" t="n">
        <f aca="false">($B$4*D65+$B$5*E65+$B$6*F65+$B$7*G65+$B$8*H65+$B$9*I65+$B$10*J65+$B$11*K65+$B$12*L65+$B$13*M65+$B$14*N65+$B$15*O65)/$B$16</f>
        <v>0.190714285714286</v>
      </c>
      <c r="Q65" s="2" t="n">
        <f aca="false">RANK(P65,$P$19:$P$89)</f>
        <v>62</v>
      </c>
    </row>
    <row r="66" customFormat="false" ht="15" hidden="false" customHeight="false" outlineLevel="0" collapsed="false">
      <c r="A66" s="8" t="str">
        <f aca="false">Tekstboek!A15</f>
        <v>B12</v>
      </c>
      <c r="B66" s="8" t="str">
        <f aca="false">Tekstboek!B15</f>
        <v>[n-bit] CDKM / Cuccaro ripple adder</v>
      </c>
      <c r="C66" s="2" t="s">
        <v>665</v>
      </c>
      <c r="D66" s="2" t="n">
        <f aca="false">IF(ISNUMBER(Tekstboek!AB15),MAX(-1,MIN(1,-Tekstboek!AB15/10)),0)</f>
        <v>-1</v>
      </c>
      <c r="E66" s="2" t="n">
        <f aca="false">IF(ISNUMBER(Tekstboek!AC15),MAX(-1,MIN(1,-Tekstboek!AC15/200)),0)</f>
        <v>0.3</v>
      </c>
      <c r="F66" s="2" t="n">
        <f aca="false">IF(Tekstboek!O15="exact",1,0)</f>
        <v>1</v>
      </c>
      <c r="G66" s="2" t="n">
        <f aca="false">IF(Tekstboek!T15="ja",1,0)</f>
        <v>1</v>
      </c>
      <c r="H66" s="2" t="n">
        <f aca="false">Tekstboek!AA15/5</f>
        <v>1</v>
      </c>
      <c r="I66" s="2" t="n">
        <f aca="false">1-Tekstboek!Z15/5</f>
        <v>0.8</v>
      </c>
      <c r="J66" s="8" t="n">
        <f aca="false">INDEX(Gelijkheid!$C:$C,MATCH(A66,Gelijkheid!$A:$A,0))</f>
        <v>0.114285714285714</v>
      </c>
      <c r="K66" s="9" t="n">
        <v>0.3</v>
      </c>
      <c r="L66" s="9" t="n">
        <v>1</v>
      </c>
      <c r="M66" s="9" t="n">
        <v>0.3</v>
      </c>
      <c r="N66" s="9" t="n">
        <v>0.5</v>
      </c>
      <c r="O66" s="9" t="n">
        <v>0.5</v>
      </c>
      <c r="P66" s="2" t="n">
        <f aca="false">($B$4*D66+$B$5*E66+$B$6*F66+$B$7*G66+$B$8*H66+$B$9*I66+$B$10*J66+$B$11*K66+$B$12*L66+$B$13*M66+$B$14*N66+$B$15*O66)/$B$16</f>
        <v>0.385714285714286</v>
      </c>
      <c r="Q66" s="2" t="n">
        <f aca="false">RANK(P66,$P$19:$P$89)</f>
        <v>32</v>
      </c>
    </row>
    <row r="67" customFormat="false" ht="15" hidden="false" customHeight="false" outlineLevel="0" collapsed="false">
      <c r="A67" s="8" t="str">
        <f aca="false">Tekstboek!A16</f>
        <v>B13</v>
      </c>
      <c r="B67" s="8" t="str">
        <f aca="false">Tekstboek!B16</f>
        <v>[n-bit] Takahashi-Tani-Kunihiro ancilla-free adder</v>
      </c>
      <c r="C67" s="2" t="s">
        <v>665</v>
      </c>
      <c r="D67" s="2" t="n">
        <f aca="false">IF(ISNUMBER(Tekstboek!AB16),MAX(-1,MIN(1,-Tekstboek!AB16/10)),0)</f>
        <v>-1</v>
      </c>
      <c r="E67" s="2" t="n">
        <f aca="false">IF(ISNUMBER(Tekstboek!AC16),MAX(-1,MIN(1,-Tekstboek!AC16/200)),0)</f>
        <v>0.3</v>
      </c>
      <c r="F67" s="2" t="n">
        <f aca="false">IF(Tekstboek!O16="exact",1,0)</f>
        <v>1</v>
      </c>
      <c r="G67" s="2" t="n">
        <f aca="false">IF(Tekstboek!T16="ja",1,0)</f>
        <v>1</v>
      </c>
      <c r="H67" s="2" t="n">
        <f aca="false">Tekstboek!AA16/5</f>
        <v>0.8</v>
      </c>
      <c r="I67" s="2" t="n">
        <f aca="false">1-Tekstboek!Z16/5</f>
        <v>0.6</v>
      </c>
      <c r="J67" s="8" t="n">
        <f aca="false">INDEX(Gelijkheid!$C:$C,MATCH(A67,Gelijkheid!$A:$A,0))</f>
        <v>0.185714285714286</v>
      </c>
      <c r="K67" s="9" t="n">
        <v>0.3</v>
      </c>
      <c r="L67" s="9" t="n">
        <v>1</v>
      </c>
      <c r="M67" s="9" t="n">
        <v>0.3</v>
      </c>
      <c r="N67" s="9" t="n">
        <v>0.5</v>
      </c>
      <c r="O67" s="9" t="n">
        <v>0.5</v>
      </c>
      <c r="P67" s="2" t="n">
        <f aca="false">($B$4*D67+$B$5*E67+$B$6*F67+$B$7*G67+$B$8*H67+$B$9*I67+$B$10*J67+$B$11*K67+$B$12*L67+$B$13*M67+$B$14*N67+$B$15*O67)/$B$16</f>
        <v>0.369285714285714</v>
      </c>
      <c r="Q67" s="2" t="n">
        <f aca="false">RANK(P67,$P$19:$P$89)</f>
        <v>37</v>
      </c>
    </row>
    <row r="68" customFormat="false" ht="15" hidden="false" customHeight="false" outlineLevel="0" collapsed="false">
      <c r="A68" s="8" t="str">
        <f aca="false">Tekstboek!A17</f>
        <v>B14</v>
      </c>
      <c r="B68" s="8" t="str">
        <f aca="false">Tekstboek!B17</f>
        <v>[n-bit] Gidney ripple adder (temporary ANDs)</v>
      </c>
      <c r="C68" s="2" t="s">
        <v>665</v>
      </c>
      <c r="D68" s="2" t="n">
        <f aca="false">IF(ISNUMBER(Tekstboek!AB17),MAX(-1,MIN(1,-Tekstboek!AB17/10)),0)</f>
        <v>-0</v>
      </c>
      <c r="E68" s="2" t="n">
        <f aca="false">IF(ISNUMBER(Tekstboek!AC17),MAX(-1,MIN(1,-Tekstboek!AC17/200)),0)</f>
        <v>-0</v>
      </c>
      <c r="F68" s="2" t="n">
        <f aca="false">IF(Tekstboek!O17="exact",1,0)</f>
        <v>1</v>
      </c>
      <c r="G68" s="2" t="n">
        <f aca="false">IF(Tekstboek!T17="ja",1,0)</f>
        <v>1</v>
      </c>
      <c r="H68" s="2" t="n">
        <f aca="false">Tekstboek!AA17/5</f>
        <v>1</v>
      </c>
      <c r="I68" s="2" t="n">
        <f aca="false">1-Tekstboek!Z17/5</f>
        <v>0.6</v>
      </c>
      <c r="J68" s="8" t="n">
        <f aca="false">INDEX(Gelijkheid!$C:$C,MATCH(A68,Gelijkheid!$A:$A,0))</f>
        <v>0.214285714285714</v>
      </c>
      <c r="K68" s="9" t="n">
        <v>0.3</v>
      </c>
      <c r="L68" s="9" t="n">
        <v>1</v>
      </c>
      <c r="M68" s="9" t="n">
        <v>0.3</v>
      </c>
      <c r="N68" s="9" t="n">
        <v>0.5</v>
      </c>
      <c r="O68" s="9" t="n">
        <v>0.5</v>
      </c>
      <c r="P68" s="2" t="n">
        <f aca="false">($B$4*D68+$B$5*E68+$B$6*F68+$B$7*G68+$B$8*H68+$B$9*I68+$B$10*J68+$B$11*K68+$B$12*L68+$B$13*M68+$B$14*N68+$B$15*O68)/$B$16</f>
        <v>0.485714285714286</v>
      </c>
      <c r="Q68" s="2" t="n">
        <f aca="false">RANK(P68,$P$19:$P$89)</f>
        <v>7</v>
      </c>
    </row>
    <row r="69" customFormat="false" ht="15" hidden="false" customHeight="false" outlineLevel="0" collapsed="false">
      <c r="A69" s="8" t="str">
        <f aca="false">Tekstboek!A18</f>
        <v>B15</v>
      </c>
      <c r="B69" s="8" t="str">
        <f aca="false">Tekstboek!B18</f>
        <v>[n-bit] Chunked ripple adder (block carry save/restore)</v>
      </c>
      <c r="C69" s="2" t="s">
        <v>665</v>
      </c>
      <c r="D69" s="2" t="n">
        <f aca="false">IF(ISNUMBER(Tekstboek!AB18),MAX(-1,MIN(1,-Tekstboek!AB18/10)),0)</f>
        <v>-0.1</v>
      </c>
      <c r="E69" s="2" t="n">
        <f aca="false">IF(ISNUMBER(Tekstboek!AC18),MAX(-1,MIN(1,-Tekstboek!AC18/200)),0)</f>
        <v>1</v>
      </c>
      <c r="F69" s="2" t="n">
        <f aca="false">IF(Tekstboek!O18="exact",1,0)</f>
        <v>1</v>
      </c>
      <c r="G69" s="2" t="n">
        <f aca="false">IF(Tekstboek!T18="ja",1,0)</f>
        <v>1</v>
      </c>
      <c r="H69" s="2" t="n">
        <f aca="false">Tekstboek!AA18/5</f>
        <v>0.8</v>
      </c>
      <c r="I69" s="2" t="n">
        <f aca="false">1-Tekstboek!Z18/5</f>
        <v>0.4</v>
      </c>
      <c r="J69" s="8" t="n">
        <f aca="false">INDEX(Gelijkheid!$C:$C,MATCH(A69,Gelijkheid!$A:$A,0))</f>
        <v>0.228571428571429</v>
      </c>
      <c r="K69" s="9" t="n">
        <v>0.3</v>
      </c>
      <c r="L69" s="9" t="n">
        <v>1</v>
      </c>
      <c r="M69" s="9" t="n">
        <v>0.3</v>
      </c>
      <c r="N69" s="9" t="n">
        <v>0.5</v>
      </c>
      <c r="O69" s="9" t="n">
        <v>0.5</v>
      </c>
      <c r="P69" s="2" t="n">
        <f aca="false">($B$4*D69+$B$5*E69+$B$6*F69+$B$7*G69+$B$8*H69+$B$9*I69+$B$10*J69+$B$11*K69+$B$12*L69+$B$13*M69+$B$14*N69+$B$15*O69)/$B$16</f>
        <v>0.601428571428572</v>
      </c>
      <c r="Q69" s="2" t="n">
        <f aca="false">RANK(P69,$P$19:$P$89)</f>
        <v>1</v>
      </c>
    </row>
    <row r="70" customFormat="false" ht="15" hidden="false" customHeight="false" outlineLevel="0" collapsed="false">
      <c r="A70" s="8" t="str">
        <f aca="false">Tekstboek!A19</f>
        <v>B16</v>
      </c>
      <c r="B70" s="8" t="str">
        <f aca="false">Tekstboek!B19</f>
        <v>[n-bit] Carry-lookahead adder</v>
      </c>
      <c r="C70" s="2" t="s">
        <v>665</v>
      </c>
      <c r="D70" s="2" t="n">
        <f aca="false">IF(ISNUMBER(Tekstboek!AB19),MAX(-1,MIN(1,-Tekstboek!AB19/10)),0)</f>
        <v>-0.8</v>
      </c>
      <c r="E70" s="2" t="n">
        <f aca="false">IF(ISNUMBER(Tekstboek!AC19),MAX(-1,MIN(1,-Tekstboek!AC19/200)),0)</f>
        <v>-1</v>
      </c>
      <c r="F70" s="2" t="n">
        <f aca="false">IF(Tekstboek!O19="exact",1,0)</f>
        <v>1</v>
      </c>
      <c r="G70" s="2" t="n">
        <f aca="false">IF(Tekstboek!T19="ja",1,0)</f>
        <v>1</v>
      </c>
      <c r="H70" s="2" t="n">
        <f aca="false">Tekstboek!AA19/5</f>
        <v>1</v>
      </c>
      <c r="I70" s="2" t="n">
        <f aca="false">1-Tekstboek!Z19/5</f>
        <v>0.4</v>
      </c>
      <c r="J70" s="8" t="n">
        <f aca="false">INDEX(Gelijkheid!$C:$C,MATCH(A70,Gelijkheid!$A:$A,0))</f>
        <v>0.1</v>
      </c>
      <c r="K70" s="9" t="n">
        <v>0.3</v>
      </c>
      <c r="L70" s="9" t="n">
        <v>1</v>
      </c>
      <c r="M70" s="9" t="n">
        <v>0.3</v>
      </c>
      <c r="N70" s="9" t="n">
        <v>0.5</v>
      </c>
      <c r="O70" s="9" t="n">
        <v>0.5</v>
      </c>
      <c r="P70" s="2" t="n">
        <f aca="false">($B$4*D70+$B$5*E70+$B$6*F70+$B$7*G70+$B$8*H70+$B$9*I70+$B$10*J70+$B$11*K70+$B$12*L70+$B$13*M70+$B$14*N70+$B$15*O70)/$B$16</f>
        <v>0.2</v>
      </c>
      <c r="Q70" s="2" t="n">
        <f aca="false">RANK(P70,$P$19:$P$89)</f>
        <v>61</v>
      </c>
    </row>
    <row r="71" customFormat="false" ht="15" hidden="false" customHeight="false" outlineLevel="0" collapsed="false">
      <c r="A71" s="8" t="str">
        <f aca="false">Tekstboek!A20</f>
        <v>B17</v>
      </c>
      <c r="B71" s="8" t="str">
        <f aca="false">Tekstboek!B20</f>
        <v>[n-bit] Sign-controlled add/subtract (XOR sign into operand)</v>
      </c>
      <c r="C71" s="2" t="s">
        <v>665</v>
      </c>
      <c r="D71" s="2" t="n">
        <f aca="false">IF(ISNUMBER(Tekstboek!AB20),MAX(-1,MIN(1,-Tekstboek!AB20/10)),0)</f>
        <v>-0</v>
      </c>
      <c r="E71" s="2" t="n">
        <f aca="false">IF(ISNUMBER(Tekstboek!AC20),MAX(-1,MIN(1,-Tekstboek!AC20/200)),0)</f>
        <v>-0</v>
      </c>
      <c r="F71" s="2" t="n">
        <f aca="false">IF(Tekstboek!O20="exact",1,0)</f>
        <v>1</v>
      </c>
      <c r="G71" s="2" t="n">
        <f aca="false">IF(Tekstboek!T20="ja",1,0)</f>
        <v>1</v>
      </c>
      <c r="H71" s="2" t="n">
        <f aca="false">Tekstboek!AA20/5</f>
        <v>1</v>
      </c>
      <c r="I71" s="2" t="n">
        <f aca="false">1-Tekstboek!Z20/5</f>
        <v>0.8</v>
      </c>
      <c r="J71" s="8" t="n">
        <f aca="false">INDEX(Gelijkheid!$C:$C,MATCH(A71,Gelijkheid!$A:$A,0))</f>
        <v>0.2</v>
      </c>
      <c r="K71" s="9" t="n">
        <v>0.3</v>
      </c>
      <c r="L71" s="9" t="n">
        <v>1</v>
      </c>
      <c r="M71" s="9" t="n">
        <v>0.3</v>
      </c>
      <c r="N71" s="9" t="n">
        <v>0.5</v>
      </c>
      <c r="O71" s="9" t="n">
        <v>0.5</v>
      </c>
      <c r="P71" s="2" t="n">
        <f aca="false">($B$4*D71+$B$5*E71+$B$6*F71+$B$7*G71+$B$8*H71+$B$9*I71+$B$10*J71+$B$11*K71+$B$12*L71+$B$13*M71+$B$14*N71+$B$15*O71)/$B$16</f>
        <v>0.495</v>
      </c>
      <c r="Q71" s="2" t="n">
        <f aca="false">RANK(P71,$P$19:$P$89)</f>
        <v>3</v>
      </c>
    </row>
    <row r="72" customFormat="false" ht="15" hidden="false" customHeight="false" outlineLevel="0" collapsed="false">
      <c r="A72" s="8" t="str">
        <f aca="false">Tekstboek!A21</f>
        <v>B18</v>
      </c>
      <c r="B72" s="8" t="str">
        <f aca="false">Tekstboek!B21</f>
        <v>[n-bit] Controlled constant adder (+-p)</v>
      </c>
      <c r="C72" s="2" t="s">
        <v>665</v>
      </c>
      <c r="D72" s="2" t="n">
        <f aca="false">IF(ISNUMBER(Tekstboek!AB21),MAX(-1,MIN(1,-Tekstboek!AB21/10)),0)</f>
        <v>-0</v>
      </c>
      <c r="E72" s="2" t="n">
        <f aca="false">IF(ISNUMBER(Tekstboek!AC21),MAX(-1,MIN(1,-Tekstboek!AC21/200)),0)</f>
        <v>-0</v>
      </c>
      <c r="F72" s="2" t="n">
        <f aca="false">IF(Tekstboek!O21="exact",1,0)</f>
        <v>1</v>
      </c>
      <c r="G72" s="2" t="n">
        <f aca="false">IF(Tekstboek!T21="ja",1,0)</f>
        <v>1</v>
      </c>
      <c r="H72" s="2" t="n">
        <f aca="false">Tekstboek!AA21/5</f>
        <v>1</v>
      </c>
      <c r="I72" s="2" t="n">
        <f aca="false">1-Tekstboek!Z21/5</f>
        <v>0.6</v>
      </c>
      <c r="J72" s="8" t="n">
        <f aca="false">INDEX(Gelijkheid!$C:$C,MATCH(A72,Gelijkheid!$A:$A,0))</f>
        <v>0.0428571428571428</v>
      </c>
      <c r="K72" s="9" t="n">
        <v>0.3</v>
      </c>
      <c r="L72" s="9" t="n">
        <v>1</v>
      </c>
      <c r="M72" s="9" t="n">
        <v>0.3</v>
      </c>
      <c r="N72" s="9" t="n">
        <v>0.5</v>
      </c>
      <c r="O72" s="9" t="n">
        <v>0.5</v>
      </c>
      <c r="P72" s="2" t="n">
        <f aca="false">($B$4*D72+$B$5*E72+$B$6*F72+$B$7*G72+$B$8*H72+$B$9*I72+$B$10*J72+$B$11*K72+$B$12*L72+$B$13*M72+$B$14*N72+$B$15*O72)/$B$16</f>
        <v>0.477142857142857</v>
      </c>
      <c r="Q72" s="2" t="n">
        <f aca="false">RANK(P72,$P$19:$P$89)</f>
        <v>9</v>
      </c>
    </row>
    <row r="73" customFormat="false" ht="15" hidden="false" customHeight="false" outlineLevel="0" collapsed="false">
      <c r="A73" s="8" t="str">
        <f aca="false">Tekstboek!A22</f>
        <v>B19</v>
      </c>
      <c r="B73" s="8" t="str">
        <f aca="false">Tekstboek!B22</f>
        <v>[n-bit] Full-width comparator (subtract-sign)</v>
      </c>
      <c r="C73" s="2" t="s">
        <v>665</v>
      </c>
      <c r="D73" s="2" t="n">
        <f aca="false">IF(ISNUMBER(Tekstboek!AB22),MAX(-1,MIN(1,-Tekstboek!AB22/10)),0)</f>
        <v>-0</v>
      </c>
      <c r="E73" s="2" t="n">
        <f aca="false">IF(ISNUMBER(Tekstboek!AC22),MAX(-1,MIN(1,-Tekstboek!AC22/200)),0)</f>
        <v>-0</v>
      </c>
      <c r="F73" s="2" t="n">
        <f aca="false">IF(Tekstboek!O22="exact",1,0)</f>
        <v>1</v>
      </c>
      <c r="G73" s="2" t="n">
        <f aca="false">IF(Tekstboek!T22="ja",1,0)</f>
        <v>1</v>
      </c>
      <c r="H73" s="2" t="n">
        <f aca="false">Tekstboek!AA22/5</f>
        <v>1</v>
      </c>
      <c r="I73" s="2" t="n">
        <f aca="false">1-Tekstboek!Z22/5</f>
        <v>0.8</v>
      </c>
      <c r="J73" s="8" t="n">
        <f aca="false">INDEX(Gelijkheid!$C:$C,MATCH(A73,Gelijkheid!$A:$A,0))</f>
        <v>0.128571428571429</v>
      </c>
      <c r="K73" s="9" t="n">
        <v>0</v>
      </c>
      <c r="L73" s="9" t="n">
        <v>0</v>
      </c>
      <c r="M73" s="9" t="n">
        <v>0.3</v>
      </c>
      <c r="N73" s="9" t="n">
        <v>0.5</v>
      </c>
      <c r="O73" s="9" t="n">
        <v>0.5</v>
      </c>
      <c r="P73" s="2" t="n">
        <f aca="false">($B$4*D73+$B$5*E73+$B$6*F73+$B$7*G73+$B$8*H73+$B$9*I73+$B$10*J73+$B$11*K73+$B$12*L73+$B$13*M73+$B$14*N73+$B$15*O73)/$B$16</f>
        <v>0.411428571428571</v>
      </c>
      <c r="Q73" s="2" t="n">
        <f aca="false">RANK(P73,$P$19:$P$89)</f>
        <v>20</v>
      </c>
    </row>
    <row r="74" customFormat="false" ht="15" hidden="false" customHeight="false" outlineLevel="0" collapsed="false">
      <c r="A74" s="8" t="str">
        <f aca="false">Tekstboek!A23</f>
        <v>B20</v>
      </c>
      <c r="B74" s="8" t="str">
        <f aca="false">Tekstboek!B23</f>
        <v>[n-bit] Top-window comparator (w bits)</v>
      </c>
      <c r="C74" s="2" t="s">
        <v>665</v>
      </c>
      <c r="D74" s="2" t="n">
        <f aca="false">IF(ISNUMBER(Tekstboek!AB23),MAX(-1,MIN(1,-Tekstboek!AB23/10)),0)</f>
        <v>-0</v>
      </c>
      <c r="E74" s="2" t="n">
        <f aca="false">IF(ISNUMBER(Tekstboek!AC23),MAX(-1,MIN(1,-Tekstboek!AC23/200)),0)</f>
        <v>-0</v>
      </c>
      <c r="F74" s="2" t="n">
        <f aca="false">IF(Tekstboek!O23="exact",1,0)</f>
        <v>0</v>
      </c>
      <c r="G74" s="2" t="n">
        <f aca="false">IF(Tekstboek!T23="ja",1,0)</f>
        <v>1</v>
      </c>
      <c r="H74" s="2" t="n">
        <f aca="false">Tekstboek!AA23/5</f>
        <v>0.8</v>
      </c>
      <c r="I74" s="2" t="n">
        <f aca="false">1-Tekstboek!Z23/5</f>
        <v>0.6</v>
      </c>
      <c r="J74" s="8" t="n">
        <f aca="false">INDEX(Gelijkheid!$C:$C,MATCH(A74,Gelijkheid!$A:$A,0))</f>
        <v>0.228571428571429</v>
      </c>
      <c r="K74" s="9" t="n">
        <v>0</v>
      </c>
      <c r="L74" s="9" t="n">
        <v>0</v>
      </c>
      <c r="M74" s="9" t="n">
        <v>0.3</v>
      </c>
      <c r="N74" s="9" t="n">
        <v>0.5</v>
      </c>
      <c r="O74" s="9" t="n">
        <v>0.5</v>
      </c>
      <c r="P74" s="2" t="n">
        <f aca="false">($B$4*D74+$B$5*E74+$B$6*F74+$B$7*G74+$B$8*H74+$B$9*I74+$B$10*J74+$B$11*K74+$B$12*L74+$B$13*M74+$B$14*N74+$B$15*O74)/$B$16</f>
        <v>0.296428571428571</v>
      </c>
      <c r="Q74" s="2" t="n">
        <f aca="false">RANK(P74,$P$19:$P$89)</f>
        <v>48</v>
      </c>
    </row>
    <row r="75" customFormat="false" ht="15" hidden="false" customHeight="false" outlineLevel="0" collapsed="false">
      <c r="A75" s="8" t="str">
        <f aca="false">Tekstboek!A24</f>
        <v>B21</v>
      </c>
      <c r="B75" s="8" t="str">
        <f aca="false">Tekstboek!B24</f>
        <v>[n-bit] Comparator with conditionally clean ancillae</v>
      </c>
      <c r="C75" s="2" t="s">
        <v>665</v>
      </c>
      <c r="D75" s="2" t="n">
        <f aca="false">IF(ISNUMBER(Tekstboek!AB24),MAX(-1,MIN(1,-Tekstboek!AB24/10)),0)</f>
        <v>-0</v>
      </c>
      <c r="E75" s="2" t="n">
        <f aca="false">IF(ISNUMBER(Tekstboek!AC24),MAX(-1,MIN(1,-Tekstboek!AC24/200)),0)</f>
        <v>0.18</v>
      </c>
      <c r="F75" s="2" t="n">
        <f aca="false">IF(Tekstboek!O24="exact",1,0)</f>
        <v>1</v>
      </c>
      <c r="G75" s="2" t="n">
        <f aca="false">IF(Tekstboek!T24="ja",1,0)</f>
        <v>1</v>
      </c>
      <c r="H75" s="2" t="n">
        <f aca="false">Tekstboek!AA24/5</f>
        <v>0.8</v>
      </c>
      <c r="I75" s="2" t="n">
        <f aca="false">1-Tekstboek!Z24/5</f>
        <v>0.4</v>
      </c>
      <c r="J75" s="8" t="n">
        <f aca="false">INDEX(Gelijkheid!$C:$C,MATCH(A75,Gelijkheid!$A:$A,0))</f>
        <v>0.157142857142857</v>
      </c>
      <c r="K75" s="9" t="n">
        <v>0</v>
      </c>
      <c r="L75" s="9" t="n">
        <v>0</v>
      </c>
      <c r="M75" s="9" t="n">
        <v>0.3</v>
      </c>
      <c r="N75" s="9" t="n">
        <v>0.5</v>
      </c>
      <c r="O75" s="9" t="n">
        <v>0.5</v>
      </c>
      <c r="P75" s="2" t="n">
        <f aca="false">($B$4*D75+$B$5*E75+$B$6*F75+$B$7*G75+$B$8*H75+$B$9*I75+$B$10*J75+$B$11*K75+$B$12*L75+$B$13*M75+$B$14*N75+$B$15*O75)/$B$16</f>
        <v>0.409857142857143</v>
      </c>
      <c r="Q75" s="2" t="n">
        <f aca="false">RANK(P75,$P$19:$P$89)</f>
        <v>21</v>
      </c>
    </row>
    <row r="76" customFormat="false" ht="15" hidden="false" customHeight="false" outlineLevel="0" collapsed="false">
      <c r="A76" s="8" t="str">
        <f aca="false">Tekstboek!A25</f>
        <v>B22</v>
      </c>
      <c r="B76" s="8" t="str">
        <f aca="false">Tekstboek!B25</f>
        <v>[n-bit] Incrementer (dirty-ancilla)</v>
      </c>
      <c r="C76" s="2" t="s">
        <v>665</v>
      </c>
      <c r="D76" s="2" t="n">
        <f aca="false">IF(ISNUMBER(Tekstboek!AB25),MAX(-1,MIN(1,-Tekstboek!AB25/10)),0)</f>
        <v>-0</v>
      </c>
      <c r="E76" s="2" t="n">
        <f aca="false">IF(ISNUMBER(Tekstboek!AC25),MAX(-1,MIN(1,-Tekstboek!AC25/200)),0)</f>
        <v>-0</v>
      </c>
      <c r="F76" s="2" t="n">
        <f aca="false">IF(Tekstboek!O25="exact",1,0)</f>
        <v>1</v>
      </c>
      <c r="G76" s="2" t="n">
        <f aca="false">IF(Tekstboek!T25="ja",1,0)</f>
        <v>1</v>
      </c>
      <c r="H76" s="2" t="n">
        <f aca="false">Tekstboek!AA25/5</f>
        <v>0.8</v>
      </c>
      <c r="I76" s="2" t="n">
        <f aca="false">1-Tekstboek!Z25/5</f>
        <v>0.6</v>
      </c>
      <c r="J76" s="8" t="n">
        <f aca="false">INDEX(Gelijkheid!$C:$C,MATCH(A76,Gelijkheid!$A:$A,0))</f>
        <v>0.171428571428571</v>
      </c>
      <c r="K76" s="9" t="n">
        <v>0.3</v>
      </c>
      <c r="L76" s="9" t="n">
        <v>1</v>
      </c>
      <c r="M76" s="9" t="n">
        <v>0.3</v>
      </c>
      <c r="N76" s="9" t="n">
        <v>0.5</v>
      </c>
      <c r="O76" s="9" t="n">
        <v>0.5</v>
      </c>
      <c r="P76" s="2" t="n">
        <f aca="false">($B$4*D76+$B$5*E76+$B$6*F76+$B$7*G76+$B$8*H76+$B$9*I76+$B$10*J76+$B$11*K76+$B$12*L76+$B$13*M76+$B$14*N76+$B$15*O76)/$B$16</f>
        <v>0.473571428571429</v>
      </c>
      <c r="Q76" s="2" t="n">
        <f aca="false">RANK(P76,$P$19:$P$89)</f>
        <v>10</v>
      </c>
    </row>
    <row r="77" customFormat="false" ht="15" hidden="false" customHeight="false" outlineLevel="0" collapsed="false">
      <c r="A77" s="8" t="str">
        <f aca="false">Tekstboek!A26</f>
        <v>B23</v>
      </c>
      <c r="B77" s="8" t="str">
        <f aca="false">Tekstboek!B26</f>
        <v>[n-bit] Multi-controlled NOT (Barenco ladder)</v>
      </c>
      <c r="C77" s="2" t="s">
        <v>665</v>
      </c>
      <c r="D77" s="2" t="n">
        <f aca="false">IF(ISNUMBER(Tekstboek!AB26),MAX(-1,MIN(1,-Tekstboek!AB26/10)),0)</f>
        <v>-0</v>
      </c>
      <c r="E77" s="2" t="n">
        <f aca="false">IF(ISNUMBER(Tekstboek!AC26),MAX(-1,MIN(1,-Tekstboek!AC26/200)),0)</f>
        <v>-0</v>
      </c>
      <c r="F77" s="2" t="n">
        <f aca="false">IF(Tekstboek!O26="exact",1,0)</f>
        <v>1</v>
      </c>
      <c r="G77" s="2" t="n">
        <f aca="false">IF(Tekstboek!T26="ja",1,0)</f>
        <v>1</v>
      </c>
      <c r="H77" s="2" t="n">
        <f aca="false">Tekstboek!AA26/5</f>
        <v>1</v>
      </c>
      <c r="I77" s="2" t="n">
        <f aca="false">1-Tekstboek!Z26/5</f>
        <v>0.6</v>
      </c>
      <c r="J77" s="8" t="n">
        <f aca="false">INDEX(Gelijkheid!$C:$C,MATCH(A77,Gelijkheid!$A:$A,0))</f>
        <v>0.185714285714286</v>
      </c>
      <c r="K77" s="9" t="n">
        <v>0</v>
      </c>
      <c r="L77" s="9" t="n">
        <v>0</v>
      </c>
      <c r="M77" s="9" t="n">
        <v>0</v>
      </c>
      <c r="N77" s="9" t="n">
        <v>0.5</v>
      </c>
      <c r="O77" s="9" t="n">
        <v>0.5</v>
      </c>
      <c r="P77" s="2" t="n">
        <f aca="false">($B$4*D77+$B$5*E77+$B$6*F77+$B$7*G77+$B$8*H77+$B$9*I77+$B$10*J77+$B$11*K77+$B$12*L77+$B$13*M77+$B$14*N77+$B$15*O77)/$B$16</f>
        <v>0.389285714285714</v>
      </c>
      <c r="Q77" s="2" t="n">
        <f aca="false">RANK(P77,$P$19:$P$89)</f>
        <v>31</v>
      </c>
    </row>
    <row r="78" customFormat="false" ht="15" hidden="false" customHeight="false" outlineLevel="0" collapsed="false">
      <c r="A78" s="8" t="str">
        <f aca="false">Tekstboek!A27</f>
        <v>B24</v>
      </c>
      <c r="B78" s="8" t="str">
        <f aca="false">Tekstboek!B27</f>
        <v>[n-bit] Conditional negation (two's complement)</v>
      </c>
      <c r="C78" s="2" t="s">
        <v>665</v>
      </c>
      <c r="D78" s="2" t="n">
        <f aca="false">IF(ISNUMBER(Tekstboek!AB27),MAX(-1,MIN(1,-Tekstboek!AB27/10)),0)</f>
        <v>-0</v>
      </c>
      <c r="E78" s="2" t="n">
        <f aca="false">IF(ISNUMBER(Tekstboek!AC27),MAX(-1,MIN(1,-Tekstboek!AC27/200)),0)</f>
        <v>-0</v>
      </c>
      <c r="F78" s="2" t="n">
        <f aca="false">IF(Tekstboek!O27="exact",1,0)</f>
        <v>1</v>
      </c>
      <c r="G78" s="2" t="n">
        <f aca="false">IF(Tekstboek!T27="ja",1,0)</f>
        <v>1</v>
      </c>
      <c r="H78" s="2" t="n">
        <f aca="false">Tekstboek!AA27/5</f>
        <v>1</v>
      </c>
      <c r="I78" s="2" t="n">
        <f aca="false">1-Tekstboek!Z27/5</f>
        <v>0.8</v>
      </c>
      <c r="J78" s="8" t="n">
        <f aca="false">INDEX(Gelijkheid!$C:$C,MATCH(A78,Gelijkheid!$A:$A,0))</f>
        <v>0.15</v>
      </c>
      <c r="K78" s="9" t="n">
        <v>0.3</v>
      </c>
      <c r="L78" s="9" t="n">
        <v>1</v>
      </c>
      <c r="M78" s="9" t="n">
        <v>0.3</v>
      </c>
      <c r="N78" s="9" t="n">
        <v>0.5</v>
      </c>
      <c r="O78" s="9" t="n">
        <v>0.5</v>
      </c>
      <c r="P78" s="2" t="n">
        <f aca="false">($B$4*D78+$B$5*E78+$B$6*F78+$B$7*G78+$B$8*H78+$B$9*I78+$B$10*J78+$B$11*K78+$B$12*L78+$B$13*M78+$B$14*N78+$B$15*O78)/$B$16</f>
        <v>0.4925</v>
      </c>
      <c r="Q78" s="2" t="n">
        <f aca="false">RANK(P78,$P$19:$P$89)</f>
        <v>4</v>
      </c>
    </row>
    <row r="79" customFormat="false" ht="15" hidden="false" customHeight="false" outlineLevel="0" collapsed="false">
      <c r="A79" s="8" t="str">
        <f aca="false">Tekstboek!A28</f>
        <v>B25</v>
      </c>
      <c r="B79" s="8" t="str">
        <f aca="false">Tekstboek!B28</f>
        <v>[n-bit] Barrel shifter (log Fredkin stages)</v>
      </c>
      <c r="C79" s="2" t="s">
        <v>665</v>
      </c>
      <c r="D79" s="2" t="n">
        <f aca="false">IF(ISNUMBER(Tekstboek!AB28),MAX(-1,MIN(1,-Tekstboek!AB28/10)),0)</f>
        <v>-0</v>
      </c>
      <c r="E79" s="2" t="n">
        <f aca="false">IF(ISNUMBER(Tekstboek!AC28),MAX(-1,MIN(1,-Tekstboek!AC28/200)),0)</f>
        <v>-0</v>
      </c>
      <c r="F79" s="2" t="n">
        <f aca="false">IF(Tekstboek!O28="exact",1,0)</f>
        <v>1</v>
      </c>
      <c r="G79" s="2" t="n">
        <f aca="false">IF(Tekstboek!T28="ja",1,0)</f>
        <v>1</v>
      </c>
      <c r="H79" s="2" t="n">
        <f aca="false">Tekstboek!AA28/5</f>
        <v>1</v>
      </c>
      <c r="I79" s="2" t="n">
        <f aca="false">1-Tekstboek!Z28/5</f>
        <v>0.6</v>
      </c>
      <c r="J79" s="8" t="n">
        <f aca="false">INDEX(Gelijkheid!$C:$C,MATCH(A79,Gelijkheid!$A:$A,0))</f>
        <v>0.221428571428571</v>
      </c>
      <c r="K79" s="9" t="n">
        <v>0</v>
      </c>
      <c r="L79" s="9" t="n">
        <v>0</v>
      </c>
      <c r="M79" s="9" t="n">
        <v>0</v>
      </c>
      <c r="N79" s="9" t="n">
        <v>0.5</v>
      </c>
      <c r="O79" s="9" t="n">
        <v>0.5</v>
      </c>
      <c r="P79" s="2" t="n">
        <f aca="false">($B$4*D79+$B$5*E79+$B$6*F79+$B$7*G79+$B$8*H79+$B$9*I79+$B$10*J79+$B$11*K79+$B$12*L79+$B$13*M79+$B$14*N79+$B$15*O79)/$B$16</f>
        <v>0.391071428571429</v>
      </c>
      <c r="Q79" s="2" t="n">
        <f aca="false">RANK(P79,$P$19:$P$89)</f>
        <v>30</v>
      </c>
    </row>
    <row r="80" customFormat="false" ht="15" hidden="false" customHeight="false" outlineLevel="0" collapsed="false">
      <c r="A80" s="8" t="str">
        <f aca="false">Tekstboek!A29</f>
        <v>B26</v>
      </c>
      <c r="B80" s="8" t="str">
        <f aca="false">Tekstboek!B29</f>
        <v>[n-bit] Modular adder (VBE 5 adders / Beauregard)</v>
      </c>
      <c r="C80" s="2" t="s">
        <v>665</v>
      </c>
      <c r="D80" s="2" t="n">
        <f aca="false">IF(ISNUMBER(Tekstboek!AB29),MAX(-1,MIN(1,-Tekstboek!AB29/10)),0)</f>
        <v>-0</v>
      </c>
      <c r="E80" s="2" t="n">
        <f aca="false">IF(ISNUMBER(Tekstboek!AC29),MAX(-1,MIN(1,-Tekstboek!AC29/200)),0)</f>
        <v>-0</v>
      </c>
      <c r="F80" s="2" t="n">
        <f aca="false">IF(Tekstboek!O29="exact",1,0)</f>
        <v>1</v>
      </c>
      <c r="G80" s="2" t="n">
        <f aca="false">IF(Tekstboek!T29="ja",1,0)</f>
        <v>1</v>
      </c>
      <c r="H80" s="2" t="n">
        <f aca="false">Tekstboek!AA29/5</f>
        <v>1</v>
      </c>
      <c r="I80" s="2" t="n">
        <f aca="false">1-Tekstboek!Z29/5</f>
        <v>0.6</v>
      </c>
      <c r="J80" s="8" t="n">
        <f aca="false">INDEX(Gelijkheid!$C:$C,MATCH(A80,Gelijkheid!$A:$A,0))</f>
        <v>0.1</v>
      </c>
      <c r="K80" s="9" t="n">
        <v>0.3</v>
      </c>
      <c r="L80" s="9" t="n">
        <v>1</v>
      </c>
      <c r="M80" s="9" t="n">
        <v>0</v>
      </c>
      <c r="N80" s="9" t="n">
        <v>0.5</v>
      </c>
      <c r="O80" s="9" t="n">
        <v>0.5</v>
      </c>
      <c r="P80" s="2" t="n">
        <f aca="false">($B$4*D80+$B$5*E80+$B$6*F80+$B$7*G80+$B$8*H80+$B$9*I80+$B$10*J80+$B$11*K80+$B$12*L80+$B$13*M80+$B$14*N80+$B$15*O80)/$B$16</f>
        <v>0.465</v>
      </c>
      <c r="Q80" s="2" t="n">
        <f aca="false">RANK(P80,$P$19:$P$89)</f>
        <v>12</v>
      </c>
    </row>
    <row r="81" customFormat="false" ht="15" hidden="false" customHeight="false" outlineLevel="0" collapsed="false">
      <c r="A81" s="8" t="str">
        <f aca="false">Tekstboek!A30</f>
        <v>B27</v>
      </c>
      <c r="B81" s="8" t="str">
        <f aca="false">Tekstboek!B30</f>
        <v>[n-bit] Modular halving x/2 mod p (parity, +p, compare erase)</v>
      </c>
      <c r="C81" s="2" t="s">
        <v>665</v>
      </c>
      <c r="D81" s="2" t="n">
        <f aca="false">IF(ISNUMBER(Tekstboek!AB30),MAX(-1,MIN(1,-Tekstboek!AB30/10)),0)</f>
        <v>-0</v>
      </c>
      <c r="E81" s="2" t="n">
        <f aca="false">IF(ISNUMBER(Tekstboek!AC30),MAX(-1,MIN(1,-Tekstboek!AC30/200)),0)</f>
        <v>-0</v>
      </c>
      <c r="F81" s="2" t="n">
        <f aca="false">IF(Tekstboek!O30="exact",1,0)</f>
        <v>1</v>
      </c>
      <c r="G81" s="2" t="n">
        <f aca="false">IF(Tekstboek!T30="ja",1,0)</f>
        <v>1</v>
      </c>
      <c r="H81" s="2" t="n">
        <f aca="false">Tekstboek!AA30/5</f>
        <v>1</v>
      </c>
      <c r="I81" s="2" t="n">
        <f aca="false">1-Tekstboek!Z30/5</f>
        <v>0.6</v>
      </c>
      <c r="J81" s="8" t="n">
        <f aca="false">INDEX(Gelijkheid!$C:$C,MATCH(A81,Gelijkheid!$A:$A,0))</f>
        <v>0.185714285714286</v>
      </c>
      <c r="K81" s="9" t="n">
        <v>0.3</v>
      </c>
      <c r="L81" s="9" t="n">
        <v>1</v>
      </c>
      <c r="M81" s="9" t="n">
        <v>0</v>
      </c>
      <c r="N81" s="9" t="n">
        <v>0.5</v>
      </c>
      <c r="O81" s="9" t="n">
        <v>0.5</v>
      </c>
      <c r="P81" s="2" t="n">
        <f aca="false">($B$4*D81+$B$5*E81+$B$6*F81+$B$7*G81+$B$8*H81+$B$9*I81+$B$10*J81+$B$11*K81+$B$12*L81+$B$13*M81+$B$14*N81+$B$15*O81)/$B$16</f>
        <v>0.469285714285714</v>
      </c>
      <c r="Q81" s="2" t="n">
        <f aca="false">RANK(P81,$P$19:$P$89)</f>
        <v>11</v>
      </c>
    </row>
    <row r="82" customFormat="false" ht="15" hidden="false" customHeight="false" outlineLevel="0" collapsed="false">
      <c r="A82" s="8" t="str">
        <f aca="false">Tekstboek!A31</f>
        <v>B28</v>
      </c>
      <c r="B82" s="8" t="str">
        <f aca="false">Tekstboek!B31</f>
        <v>[n-bit] Montgomery modular multiplication</v>
      </c>
      <c r="C82" s="2" t="s">
        <v>665</v>
      </c>
      <c r="D82" s="2" t="n">
        <f aca="false">IF(ISNUMBER(Tekstboek!AB31),MAX(-1,MIN(1,-Tekstboek!AB31/10)),0)</f>
        <v>-0</v>
      </c>
      <c r="E82" s="2" t="n">
        <f aca="false">IF(ISNUMBER(Tekstboek!AC31),MAX(-1,MIN(1,-Tekstboek!AC31/200)),0)</f>
        <v>-0</v>
      </c>
      <c r="F82" s="2" t="n">
        <f aca="false">IF(Tekstboek!O31="exact",1,0)</f>
        <v>1</v>
      </c>
      <c r="G82" s="2" t="n">
        <f aca="false">IF(Tekstboek!T31="ja",1,0)</f>
        <v>1</v>
      </c>
      <c r="H82" s="2" t="n">
        <f aca="false">Tekstboek!AA31/5</f>
        <v>1</v>
      </c>
      <c r="I82" s="2" t="n">
        <f aca="false">1-Tekstboek!Z31/5</f>
        <v>0.4</v>
      </c>
      <c r="J82" s="8" t="n">
        <f aca="false">INDEX(Gelijkheid!$C:$C,MATCH(A82,Gelijkheid!$A:$A,0))</f>
        <v>0.0714285714285714</v>
      </c>
      <c r="K82" s="9" t="n">
        <v>0</v>
      </c>
      <c r="L82" s="9" t="n">
        <v>1</v>
      </c>
      <c r="M82" s="9" t="n">
        <v>0</v>
      </c>
      <c r="N82" s="9" t="n">
        <v>0.5</v>
      </c>
      <c r="O82" s="9" t="n">
        <v>0.5</v>
      </c>
      <c r="P82" s="2" t="n">
        <f aca="false">($B$4*D82+$B$5*E82+$B$6*F82+$B$7*G82+$B$8*H82+$B$9*I82+$B$10*J82+$B$11*K82+$B$12*L82+$B$13*M82+$B$14*N82+$B$15*O82)/$B$16</f>
        <v>0.423571428571429</v>
      </c>
      <c r="Q82" s="2" t="n">
        <f aca="false">RANK(P82,$P$19:$P$89)</f>
        <v>17</v>
      </c>
    </row>
    <row r="83" customFormat="false" ht="15" hidden="false" customHeight="false" outlineLevel="0" collapsed="false">
      <c r="A83" s="8" t="str">
        <f aca="false">Tekstboek!A32</f>
        <v>B29</v>
      </c>
      <c r="B83" s="8" t="str">
        <f aca="false">Tekstboek!B32</f>
        <v>[n-bit] Schoolbook square (symmetric, n^2/2)</v>
      </c>
      <c r="C83" s="2" t="s">
        <v>665</v>
      </c>
      <c r="D83" s="2" t="n">
        <f aca="false">IF(ISNUMBER(Tekstboek!AB32),MAX(-1,MIN(1,-Tekstboek!AB32/10)),0)</f>
        <v>-0</v>
      </c>
      <c r="E83" s="2" t="n">
        <f aca="false">IF(ISNUMBER(Tekstboek!AC32),MAX(-1,MIN(1,-Tekstboek!AC32/200)),0)</f>
        <v>-0</v>
      </c>
      <c r="F83" s="2" t="n">
        <f aca="false">IF(Tekstboek!O32="exact",1,0)</f>
        <v>1</v>
      </c>
      <c r="G83" s="2" t="n">
        <f aca="false">IF(Tekstboek!T32="ja",1,0)</f>
        <v>1</v>
      </c>
      <c r="H83" s="2" t="n">
        <f aca="false">Tekstboek!AA32/5</f>
        <v>1</v>
      </c>
      <c r="I83" s="2" t="n">
        <f aca="false">1-Tekstboek!Z32/5</f>
        <v>0.6</v>
      </c>
      <c r="J83" s="8" t="n">
        <f aca="false">INDEX(Gelijkheid!$C:$C,MATCH(A83,Gelijkheid!$A:$A,0))</f>
        <v>0.0857142857142857</v>
      </c>
      <c r="K83" s="9" t="n">
        <v>0</v>
      </c>
      <c r="L83" s="9" t="n">
        <v>1</v>
      </c>
      <c r="M83" s="9" t="n">
        <v>0</v>
      </c>
      <c r="N83" s="9" t="n">
        <v>0.5</v>
      </c>
      <c r="O83" s="9" t="n">
        <v>0.5</v>
      </c>
      <c r="P83" s="2" t="n">
        <f aca="false">($B$4*D83+$B$5*E83+$B$6*F83+$B$7*G83+$B$8*H83+$B$9*I83+$B$10*J83+$B$11*K83+$B$12*L83+$B$13*M83+$B$14*N83+$B$15*O83)/$B$16</f>
        <v>0.434285714285714</v>
      </c>
      <c r="Q83" s="2" t="n">
        <f aca="false">RANK(P83,$P$19:$P$89)</f>
        <v>15</v>
      </c>
    </row>
    <row r="84" customFormat="false" ht="15" hidden="false" customHeight="false" outlineLevel="0" collapsed="false">
      <c r="A84" s="8" t="str">
        <f aca="false">Tekstboek!A33</f>
        <v>B30</v>
      </c>
      <c r="B84" s="8" t="str">
        <f aca="false">Tekstboek!B33</f>
        <v>[n-bit] Solinas pseudo-Mersenne reduction</v>
      </c>
      <c r="C84" s="2" t="s">
        <v>665</v>
      </c>
      <c r="D84" s="2" t="n">
        <f aca="false">IF(ISNUMBER(Tekstboek!AB33),MAX(-1,MIN(1,-Tekstboek!AB33/10)),0)</f>
        <v>-0</v>
      </c>
      <c r="E84" s="2" t="n">
        <f aca="false">IF(ISNUMBER(Tekstboek!AC33),MAX(-1,MIN(1,-Tekstboek!AC33/200)),0)</f>
        <v>-0</v>
      </c>
      <c r="F84" s="2" t="n">
        <f aca="false">IF(Tekstboek!O33="exact",1,0)</f>
        <v>1</v>
      </c>
      <c r="G84" s="2" t="n">
        <f aca="false">IF(Tekstboek!T33="ja",1,0)</f>
        <v>1</v>
      </c>
      <c r="H84" s="2" t="n">
        <f aca="false">Tekstboek!AA33/5</f>
        <v>1</v>
      </c>
      <c r="I84" s="2" t="n">
        <f aca="false">1-Tekstboek!Z33/5</f>
        <v>0.6</v>
      </c>
      <c r="J84" s="8" t="n">
        <f aca="false">INDEX(Gelijkheid!$C:$C,MATCH(A84,Gelijkheid!$A:$A,0))</f>
        <v>0.1</v>
      </c>
      <c r="K84" s="9" t="n">
        <v>0.3</v>
      </c>
      <c r="L84" s="9" t="n">
        <v>1</v>
      </c>
      <c r="M84" s="9" t="n">
        <v>0</v>
      </c>
      <c r="N84" s="9" t="n">
        <v>0.5</v>
      </c>
      <c r="O84" s="9" t="n">
        <v>0.5</v>
      </c>
      <c r="P84" s="2" t="n">
        <f aca="false">($B$4*D84+$B$5*E84+$B$6*F84+$B$7*G84+$B$8*H84+$B$9*I84+$B$10*J84+$B$11*K84+$B$12*L84+$B$13*M84+$B$14*N84+$B$15*O84)/$B$16</f>
        <v>0.465</v>
      </c>
      <c r="Q84" s="2" t="n">
        <f aca="false">RANK(P84,$P$19:$P$89)</f>
        <v>12</v>
      </c>
    </row>
    <row r="85" customFormat="false" ht="15" hidden="false" customHeight="false" outlineLevel="0" collapsed="false">
      <c r="A85" s="8" t="str">
        <f aca="false">Tekstboek!A34</f>
        <v>B31</v>
      </c>
      <c r="B85" s="8" t="str">
        <f aca="false">Tekstboek!B34</f>
        <v>[n-bit] Bennett compute-copy-uncompute</v>
      </c>
      <c r="C85" s="2" t="s">
        <v>665</v>
      </c>
      <c r="D85" s="2" t="n">
        <f aca="false">IF(ISNUMBER(Tekstboek!AB34),MAX(-1,MIN(1,-Tekstboek!AB34/10)),0)</f>
        <v>-0</v>
      </c>
      <c r="E85" s="2" t="n">
        <f aca="false">IF(ISNUMBER(Tekstboek!AC34),MAX(-1,MIN(1,-Tekstboek!AC34/200)),0)</f>
        <v>-0</v>
      </c>
      <c r="F85" s="2" t="n">
        <f aca="false">IF(Tekstboek!O34="exact",1,0)</f>
        <v>1</v>
      </c>
      <c r="G85" s="2" t="n">
        <f aca="false">IF(Tekstboek!T34="ja",1,0)</f>
        <v>1</v>
      </c>
      <c r="H85" s="2" t="n">
        <f aca="false">Tekstboek!AA34/5</f>
        <v>1</v>
      </c>
      <c r="I85" s="2" t="n">
        <f aca="false">1-Tekstboek!Z34/5</f>
        <v>0.8</v>
      </c>
      <c r="J85" s="8" t="n">
        <f aca="false">INDEX(Gelijkheid!$C:$C,MATCH(A85,Gelijkheid!$A:$A,0))</f>
        <v>0.171428571428571</v>
      </c>
      <c r="K85" s="9" t="n">
        <v>0.3</v>
      </c>
      <c r="L85" s="9" t="n">
        <v>0</v>
      </c>
      <c r="M85" s="9" t="n">
        <v>1</v>
      </c>
      <c r="N85" s="9" t="n">
        <v>0.5</v>
      </c>
      <c r="O85" s="9" t="n">
        <v>0.5</v>
      </c>
      <c r="P85" s="2" t="n">
        <f aca="false">($B$4*D85+$B$5*E85+$B$6*F85+$B$7*G85+$B$8*H85+$B$9*I85+$B$10*J85+$B$11*K85+$B$12*L85+$B$13*M85+$B$14*N85+$B$15*O85)/$B$16</f>
        <v>0.478571428571429</v>
      </c>
      <c r="Q85" s="2" t="n">
        <f aca="false">RANK(P85,$P$19:$P$89)</f>
        <v>8</v>
      </c>
    </row>
    <row r="86" customFormat="false" ht="15" hidden="false" customHeight="false" outlineLevel="0" collapsed="false">
      <c r="A86" s="8" t="str">
        <f aca="false">Tekstboek!A35</f>
        <v>B32</v>
      </c>
      <c r="B86" s="8" t="str">
        <f aca="false">Tekstboek!B35</f>
        <v>[n-bit] Radix packing (5 trits / 8 bits; 17 trits / 27 bits)</v>
      </c>
      <c r="C86" s="2" t="s">
        <v>665</v>
      </c>
      <c r="D86" s="2" t="n">
        <f aca="false">IF(ISNUMBER(Tekstboek!AB35),MAX(-1,MIN(1,-Tekstboek!AB35/10)),0)</f>
        <v>-0</v>
      </c>
      <c r="E86" s="2" t="n">
        <f aca="false">IF(ISNUMBER(Tekstboek!AC35),MAX(-1,MIN(1,-Tekstboek!AC35/200)),0)</f>
        <v>0.48</v>
      </c>
      <c r="F86" s="2" t="n">
        <f aca="false">IF(Tekstboek!O35="exact",1,0)</f>
        <v>1</v>
      </c>
      <c r="G86" s="2" t="n">
        <f aca="false">IF(Tekstboek!T35="ja",1,0)</f>
        <v>1</v>
      </c>
      <c r="H86" s="2" t="n">
        <f aca="false">Tekstboek!AA35/5</f>
        <v>0.8</v>
      </c>
      <c r="I86" s="2" t="n">
        <f aca="false">1-Tekstboek!Z35/5</f>
        <v>0.4</v>
      </c>
      <c r="J86" s="8" t="n">
        <f aca="false">INDEX(Gelijkheid!$C:$C,MATCH(A86,Gelijkheid!$A:$A,0))</f>
        <v>0.0285714285714286</v>
      </c>
      <c r="K86" s="9" t="n">
        <v>0.3</v>
      </c>
      <c r="L86" s="9" t="n">
        <v>0</v>
      </c>
      <c r="M86" s="9" t="n">
        <v>1</v>
      </c>
      <c r="N86" s="9" t="n">
        <v>0.5</v>
      </c>
      <c r="O86" s="9" t="n">
        <v>0.5</v>
      </c>
      <c r="P86" s="2" t="n">
        <f aca="false">($B$4*D86+$B$5*E86+$B$6*F86+$B$7*G86+$B$8*H86+$B$9*I86+$B$10*J86+$B$11*K86+$B$12*L86+$B$13*M86+$B$14*N86+$B$15*O86)/$B$16</f>
        <v>0.513428571428572</v>
      </c>
      <c r="Q86" s="2" t="n">
        <f aca="false">RANK(P86,$P$19:$P$89)</f>
        <v>2</v>
      </c>
    </row>
    <row r="87" customFormat="false" ht="15" hidden="false" customHeight="false" outlineLevel="0" collapsed="false">
      <c r="A87" s="8" t="str">
        <f aca="false">Tekstboek!A36</f>
        <v>B33</v>
      </c>
      <c r="B87" s="8" t="str">
        <f aca="false">Tekstboek!B36</f>
        <v>[n-bit] QROM unary iteration lookup</v>
      </c>
      <c r="C87" s="2" t="s">
        <v>665</v>
      </c>
      <c r="D87" s="2" t="n">
        <f aca="false">IF(ISNUMBER(Tekstboek!AB36),MAX(-1,MIN(1,-Tekstboek!AB36/10)),0)</f>
        <v>-0</v>
      </c>
      <c r="E87" s="2" t="n">
        <f aca="false">IF(ISNUMBER(Tekstboek!AC36),MAX(-1,MIN(1,-Tekstboek!AC36/200)),0)</f>
        <v>-0</v>
      </c>
      <c r="F87" s="2" t="n">
        <f aca="false">IF(Tekstboek!O36="exact",1,0)</f>
        <v>1</v>
      </c>
      <c r="G87" s="2" t="n">
        <f aca="false">IF(Tekstboek!T36="ja",1,0)</f>
        <v>1</v>
      </c>
      <c r="H87" s="2" t="n">
        <f aca="false">Tekstboek!AA36/5</f>
        <v>1</v>
      </c>
      <c r="I87" s="2" t="n">
        <f aca="false">1-Tekstboek!Z36/5</f>
        <v>0.4</v>
      </c>
      <c r="J87" s="8" t="n">
        <f aca="false">INDEX(Gelijkheid!$C:$C,MATCH(A87,Gelijkheid!$A:$A,0))</f>
        <v>0.257142857142857</v>
      </c>
      <c r="K87" s="9" t="n">
        <v>0</v>
      </c>
      <c r="L87" s="9" t="n">
        <v>0.3</v>
      </c>
      <c r="M87" s="9" t="n">
        <v>0</v>
      </c>
      <c r="N87" s="9" t="n">
        <v>0.5</v>
      </c>
      <c r="O87" s="9" t="n">
        <v>0.5</v>
      </c>
      <c r="P87" s="2" t="n">
        <f aca="false">($B$4*D87+$B$5*E87+$B$6*F87+$B$7*G87+$B$8*H87+$B$9*I87+$B$10*J87+$B$11*K87+$B$12*L87+$B$13*M87+$B$14*N87+$B$15*O87)/$B$16</f>
        <v>0.397857142857143</v>
      </c>
      <c r="Q87" s="2" t="n">
        <f aca="false">RANK(P87,$P$19:$P$89)</f>
        <v>22</v>
      </c>
    </row>
    <row r="88" customFormat="false" ht="15" hidden="false" customHeight="false" outlineLevel="0" collapsed="false">
      <c r="A88" s="8" t="str">
        <f aca="false">Tekstboek!A37</f>
        <v>B34</v>
      </c>
      <c r="B88" s="8" t="str">
        <f aca="false">Tekstboek!B37</f>
        <v>[n-bit] QFT (Fourier transform)</v>
      </c>
      <c r="C88" s="2" t="s">
        <v>665</v>
      </c>
      <c r="D88" s="2" t="n">
        <f aca="false">IF(ISNUMBER(Tekstboek!AB37),MAX(-1,MIN(1,-Tekstboek!AB37/10)),0)</f>
        <v>0</v>
      </c>
      <c r="E88" s="2" t="n">
        <f aca="false">IF(ISNUMBER(Tekstboek!AC37),MAX(-1,MIN(1,-Tekstboek!AC37/200)),0)</f>
        <v>0</v>
      </c>
      <c r="F88" s="2" t="n">
        <f aca="false">IF(Tekstboek!O37="exact",1,0)</f>
        <v>1</v>
      </c>
      <c r="G88" s="2" t="n">
        <f aca="false">IF(Tekstboek!T37="ja",1,0)</f>
        <v>0</v>
      </c>
      <c r="H88" s="2" t="n">
        <f aca="false">Tekstboek!AA37/5</f>
        <v>1</v>
      </c>
      <c r="I88" s="2" t="n">
        <f aca="false">1-Tekstboek!Z37/5</f>
        <v>0.6</v>
      </c>
      <c r="J88" s="8" t="n">
        <f aca="false">INDEX(Gelijkheid!$C:$C,MATCH(A88,Gelijkheid!$A:$A,0))</f>
        <v>0.285714285714286</v>
      </c>
      <c r="K88" s="9" t="n">
        <v>0</v>
      </c>
      <c r="L88" s="9" t="n">
        <v>0</v>
      </c>
      <c r="M88" s="9" t="n">
        <v>0</v>
      </c>
      <c r="N88" s="9" t="n">
        <v>0.5</v>
      </c>
      <c r="O88" s="9" t="n">
        <v>0.5</v>
      </c>
      <c r="P88" s="2" t="n">
        <f aca="false">($B$4*D88+$B$5*E88+$B$6*F88+$B$7*G88+$B$8*H88+$B$9*I88+$B$10*J88+$B$11*K88+$B$12*L88+$B$13*M88+$B$14*N88+$B$15*O88)/$B$16</f>
        <v>0.244285714285714</v>
      </c>
      <c r="Q88" s="2" t="n">
        <f aca="false">RANK(P88,$P$19:$P$89)</f>
        <v>57</v>
      </c>
    </row>
    <row r="89" customFormat="false" ht="15" hidden="false" customHeight="false" outlineLevel="0" collapsed="false">
      <c r="A89" s="8" t="str">
        <f aca="false">Tekstboek!A38</f>
        <v>B35</v>
      </c>
      <c r="B89" s="8" t="str">
        <f aca="false">Tekstboek!B38</f>
        <v>[n-bit] Half-delta divsteps step (swap, add/sub, halve)</v>
      </c>
      <c r="C89" s="2" t="s">
        <v>665</v>
      </c>
      <c r="D89" s="2" t="n">
        <f aca="false">IF(ISNUMBER(Tekstboek!AB38),MAX(-1,MIN(1,-Tekstboek!AB38/10)),0)</f>
        <v>-1</v>
      </c>
      <c r="E89" s="2" t="n">
        <f aca="false">IF(ISNUMBER(Tekstboek!AC38),MAX(-1,MIN(1,-Tekstboek!AC38/200)),0)</f>
        <v>-1</v>
      </c>
      <c r="F89" s="2" t="n">
        <f aca="false">IF(Tekstboek!O38="exact",1,0)</f>
        <v>1</v>
      </c>
      <c r="G89" s="2" t="n">
        <f aca="false">IF(Tekstboek!T38="ja",1,0)</f>
        <v>1</v>
      </c>
      <c r="H89" s="2" t="n">
        <f aca="false">Tekstboek!AA38/5</f>
        <v>0.8</v>
      </c>
      <c r="I89" s="2" t="n">
        <f aca="false">1-Tekstboek!Z38/5</f>
        <v>0.4</v>
      </c>
      <c r="J89" s="8" t="n">
        <f aca="false">INDEX(Gelijkheid!$C:$C,MATCH(A89,Gelijkheid!$A:$A,0))</f>
        <v>0.0857142857142857</v>
      </c>
      <c r="K89" s="9" t="n">
        <v>1</v>
      </c>
      <c r="L89" s="9" t="n">
        <v>0.3</v>
      </c>
      <c r="M89" s="9" t="n">
        <v>0</v>
      </c>
      <c r="N89" s="9" t="n">
        <v>0.5</v>
      </c>
      <c r="O89" s="9" t="n">
        <v>0.5</v>
      </c>
      <c r="P89" s="2" t="n">
        <f aca="false">($B$4*D89+$B$5*E89+$B$6*F89+$B$7*G89+$B$8*H89+$B$9*I89+$B$10*J89+$B$11*K89+$B$12*L89+$B$13*M89+$B$14*N89+$B$15*O89)/$B$16</f>
        <v>0.179285714285714</v>
      </c>
      <c r="Q89" s="2" t="n">
        <f aca="false">RANK(P89,$P$19:$P$89)</f>
        <v>65</v>
      </c>
    </row>
    <row r="90" customFormat="false" ht="15" hidden="false" customHeight="false" outlineLevel="0" collapsed="false">
      <c r="A90" s="3"/>
      <c r="B90" s="3"/>
      <c r="C90" s="3"/>
      <c r="D90" s="3"/>
      <c r="E90" s="3"/>
      <c r="F90" s="3"/>
      <c r="G90" s="3"/>
      <c r="H90" s="3"/>
      <c r="I90" s="3"/>
      <c r="J90" s="3"/>
      <c r="K90" s="3"/>
      <c r="L90" s="3"/>
      <c r="M90" s="3"/>
      <c r="N90" s="3"/>
      <c r="O90" s="3"/>
      <c r="P90" s="3"/>
      <c r="Q90" s="3"/>
    </row>
    <row r="91" customFormat="false" ht="15" hidden="false" customHeight="false" outlineLevel="0" collapsed="false">
      <c r="A91" s="2" t="s">
        <v>666</v>
      </c>
      <c r="B91" s="3"/>
      <c r="C91" s="3"/>
      <c r="D91" s="3"/>
      <c r="E91" s="3"/>
      <c r="F91" s="3"/>
      <c r="G91" s="3"/>
      <c r="H91" s="3"/>
      <c r="I91" s="3"/>
      <c r="J91" s="3"/>
      <c r="K91" s="3"/>
      <c r="L91" s="3"/>
      <c r="M91" s="3"/>
      <c r="N91" s="3"/>
      <c r="O91" s="3"/>
      <c r="P91" s="3"/>
      <c r="Q91"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X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2" style="0" width="46"/>
    <col collapsed="false" customWidth="true" hidden="false" outlineLevel="0" max="5" min="5" style="0" width="46"/>
  </cols>
  <sheetData>
    <row r="1" customFormat="false" ht="15" hidden="false" customHeight="false" outlineLevel="0" collapsed="false">
      <c r="A1" s="1" t="s">
        <v>667</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row>
    <row r="2" customFormat="false" ht="15" hidden="false" customHeight="false" outlineLevel="0" collapsed="false">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row>
    <row r="3" customFormat="false" ht="39.55" hidden="false" customHeight="false" outlineLevel="0" collapsed="false">
      <c r="A3" s="4" t="s">
        <v>20</v>
      </c>
      <c r="B3" s="4" t="s">
        <v>21</v>
      </c>
      <c r="C3" s="4" t="s">
        <v>668</v>
      </c>
      <c r="D3" s="4" t="s">
        <v>669</v>
      </c>
      <c r="E3" s="4" t="s">
        <v>670</v>
      </c>
      <c r="F3" s="4" t="str">
        <f aca="false">Gebruikt!A4</f>
        <v>G01</v>
      </c>
      <c r="G3" s="4" t="str">
        <f aca="false">Gebruikt!A5</f>
        <v>G02</v>
      </c>
      <c r="H3" s="4" t="str">
        <f aca="false">Gebruikt!A6</f>
        <v>G03</v>
      </c>
      <c r="I3" s="4" t="str">
        <f aca="false">Gebruikt!A7</f>
        <v>G04</v>
      </c>
      <c r="J3" s="4" t="str">
        <f aca="false">Gebruikt!A8</f>
        <v>G05</v>
      </c>
      <c r="K3" s="4" t="str">
        <f aca="false">Gebruikt!A9</f>
        <v>G06</v>
      </c>
      <c r="L3" s="4" t="str">
        <f aca="false">Gebruikt!A10</f>
        <v>G07</v>
      </c>
      <c r="M3" s="4" t="str">
        <f aca="false">Gebruikt!A11</f>
        <v>G08</v>
      </c>
      <c r="N3" s="4" t="str">
        <f aca="false">Gebruikt!A12</f>
        <v>G09</v>
      </c>
      <c r="O3" s="4" t="str">
        <f aca="false">Gebruikt!A13</f>
        <v>G10</v>
      </c>
      <c r="P3" s="4" t="str">
        <f aca="false">Gebruikt!A14</f>
        <v>G11</v>
      </c>
      <c r="Q3" s="4" t="str">
        <f aca="false">Gebruikt!A15</f>
        <v>G12</v>
      </c>
      <c r="R3" s="4" t="str">
        <f aca="false">Gebruikt!A16</f>
        <v>G13</v>
      </c>
      <c r="S3" s="4" t="str">
        <f aca="false">Gebruikt!A17</f>
        <v>G14</v>
      </c>
      <c r="T3" s="4" t="str">
        <f aca="false">Gebruikt!A18</f>
        <v>G15</v>
      </c>
      <c r="U3" s="4" t="str">
        <f aca="false">Gebruikt!A19</f>
        <v>G16</v>
      </c>
      <c r="V3" s="4" t="str">
        <f aca="false">Gebruikt!A20</f>
        <v>G17</v>
      </c>
      <c r="W3" s="4" t="str">
        <f aca="false">Gebruikt!A21</f>
        <v>G18</v>
      </c>
      <c r="X3" s="4" t="str">
        <f aca="false">Gebruikt!A22</f>
        <v>G19</v>
      </c>
      <c r="Y3" s="4" t="str">
        <f aca="false">Gebruikt!A23</f>
        <v>G20</v>
      </c>
      <c r="Z3" s="4" t="str">
        <f aca="false">Gebruikt!A24</f>
        <v>G21</v>
      </c>
      <c r="AA3" s="4" t="str">
        <f aca="false">Gebruikt!A25</f>
        <v>G22</v>
      </c>
      <c r="AB3" s="4" t="str">
        <f aca="false">Gebruikt!A26</f>
        <v>G23</v>
      </c>
      <c r="AC3" s="4" t="str">
        <f aca="false">Gebruikt!A27</f>
        <v>G24</v>
      </c>
      <c r="AD3" s="4" t="str">
        <f aca="false">Gebruikt!A28</f>
        <v>G25</v>
      </c>
      <c r="AE3" s="4" t="str">
        <f aca="false">Gebruikt!A29</f>
        <v>G26</v>
      </c>
      <c r="AF3" s="4" t="str">
        <f aca="false">Gebruikt!A30</f>
        <v>G27</v>
      </c>
      <c r="AG3" s="4" t="str">
        <f aca="false">Gebruikt!A31</f>
        <v>G28</v>
      </c>
      <c r="AH3" s="4" t="str">
        <f aca="false">Gebruikt!A32</f>
        <v>G29</v>
      </c>
      <c r="AI3" s="4" t="str">
        <f aca="false">Gebruikt!A33</f>
        <v>G30</v>
      </c>
      <c r="AJ3" s="4" t="str">
        <f aca="false">Gebruikt!A34</f>
        <v>G31</v>
      </c>
      <c r="AK3" s="4" t="str">
        <f aca="false">Gebruikt!A35</f>
        <v>G32</v>
      </c>
      <c r="AL3" s="4" t="str">
        <f aca="false">Gebruikt!A36</f>
        <v>G33</v>
      </c>
      <c r="AM3" s="4" t="str">
        <f aca="false">Gebruikt!A37</f>
        <v>G34</v>
      </c>
      <c r="AN3" s="4" t="str">
        <f aca="false">Gebruikt!A38</f>
        <v>G35</v>
      </c>
      <c r="AO3" s="4" t="str">
        <f aca="false">Gebruikt!A39</f>
        <v>G36</v>
      </c>
      <c r="AP3" s="4" t="str">
        <f aca="false">Gebruikt!A40</f>
        <v>G37</v>
      </c>
      <c r="AQ3" s="4" t="str">
        <f aca="false">Gebruikt!A41</f>
        <v>G38</v>
      </c>
      <c r="AR3" s="4" t="str">
        <f aca="false">Gebruikt!A42</f>
        <v>G39</v>
      </c>
      <c r="AS3" s="4" t="str">
        <f aca="false">Gebruikt!A43</f>
        <v>G40</v>
      </c>
      <c r="AT3" s="4" t="str">
        <f aca="false">Gebruikt!A44</f>
        <v>G41</v>
      </c>
      <c r="AU3" s="4" t="str">
        <f aca="false">Gebruikt!A45</f>
        <v>G42</v>
      </c>
      <c r="AV3" s="4" t="str">
        <f aca="false">Gebruikt!A46</f>
        <v>G43</v>
      </c>
      <c r="AW3" s="4" t="str">
        <f aca="false">Gebruikt!A47</f>
        <v>G44</v>
      </c>
      <c r="AX3" s="4" t="str">
        <f aca="false">Gebruikt!A48</f>
        <v>G45</v>
      </c>
    </row>
    <row r="4" customFormat="false" ht="15" hidden="false" customHeight="false" outlineLevel="0" collapsed="false">
      <c r="A4" s="8" t="str">
        <f aca="false">Ongebruikt!A4</f>
        <v>U01</v>
      </c>
      <c r="B4" s="8" t="str">
        <f aca="false">Ongebruikt!B4</f>
        <v>Half-delta divsteps (Bernstein-Yang hddivsteps)</v>
      </c>
      <c r="C4" s="2" t="n">
        <f aca="false">1-D4</f>
        <v>0.0142857142857142</v>
      </c>
      <c r="D4" s="2" t="n">
        <f aca="false">MAX(F4:AX4)</f>
        <v>0.985714285714286</v>
      </c>
      <c r="E4" s="2" t="str">
        <f aca="false">INDEX(Gebruikt!$B$4:$B$48,MATCH(D4,F4:AX4,0))</f>
        <v>Multi-bit shift per GCD step (jump-GCD K=2 to 8-way barrel e&lt;=7)</v>
      </c>
      <c r="F4" s="2" t="n">
        <f aca="false">1-SUMPRODUCT(ABS(Ongebruikt!$AH$4:$AU$4-Gebruikt!$AH$4:$AU$4))/14</f>
        <v>0.914285714285714</v>
      </c>
      <c r="G4" s="2" t="n">
        <f aca="false">1-SUMPRODUCT(ABS(Ongebruikt!$AH$4:$AU$4-Gebruikt!$AH$5:$AU$5))/14</f>
        <v>0.685714285714286</v>
      </c>
      <c r="H4" s="2" t="n">
        <f aca="false">1-SUMPRODUCT(ABS(Ongebruikt!$AH$4:$AU$4-Gebruikt!$AH$6:$AU$6))/14</f>
        <v>0.685714285714286</v>
      </c>
      <c r="I4" s="2" t="n">
        <f aca="false">1-SUMPRODUCT(ABS(Ongebruikt!$AH$4:$AU$4-Gebruikt!$AH$7:$AU$7))/14</f>
        <v>0.614285714285714</v>
      </c>
      <c r="J4" s="2" t="n">
        <f aca="false">1-SUMPRODUCT(ABS(Ongebruikt!$AH$4:$AU$4-Gebruikt!$AH$8:$AU$8))/14</f>
        <v>0.721428571428571</v>
      </c>
      <c r="K4" s="2" t="n">
        <f aca="false">1-SUMPRODUCT(ABS(Ongebruikt!$AH$4:$AU$4-Gebruikt!$AH$9:$AU$9))/14</f>
        <v>0.657142857142857</v>
      </c>
      <c r="L4" s="2" t="n">
        <f aca="false">1-SUMPRODUCT(ABS(Ongebruikt!$AH$4:$AU$4-Gebruikt!$AH$10:$AU$10))/14</f>
        <v>0.657142857142857</v>
      </c>
      <c r="M4" s="2" t="n">
        <f aca="false">1-SUMPRODUCT(ABS(Ongebruikt!$AH$4:$AU$4-Gebruikt!$AH$11:$AU$11))/14</f>
        <v>0.657142857142857</v>
      </c>
      <c r="N4" s="2" t="n">
        <f aca="false">1-SUMPRODUCT(ABS(Ongebruikt!$AH$4:$AU$4-Gebruikt!$AH$12:$AU$12))/14</f>
        <v>0.621428571428571</v>
      </c>
      <c r="O4" s="2" t="n">
        <f aca="false">1-SUMPRODUCT(ABS(Ongebruikt!$AH$4:$AU$4-Gebruikt!$AH$13:$AU$13))/14</f>
        <v>0.771428571428571</v>
      </c>
      <c r="P4" s="2" t="n">
        <f aca="false">1-SUMPRODUCT(ABS(Ongebruikt!$AH$4:$AU$4-Gebruikt!$AH$14:$AU$14))/14</f>
        <v>0.585714285714286</v>
      </c>
      <c r="Q4" s="2" t="n">
        <f aca="false">1-SUMPRODUCT(ABS(Ongebruikt!$AH$4:$AU$4-Gebruikt!$AH$15:$AU$15))/14</f>
        <v>0.657142857142857</v>
      </c>
      <c r="R4" s="2" t="n">
        <f aca="false">1-SUMPRODUCT(ABS(Ongebruikt!$AH$4:$AU$4-Gebruikt!$AH$16:$AU$16))/14</f>
        <v>0.657142857142857</v>
      </c>
      <c r="S4" s="2" t="n">
        <f aca="false">1-SUMPRODUCT(ABS(Ongebruikt!$AH$4:$AU$4-Gebruikt!$AH$17:$AU$17))/14</f>
        <v>0.578571428571429</v>
      </c>
      <c r="T4" s="2" t="n">
        <f aca="false">1-SUMPRODUCT(ABS(Ongebruikt!$AH$4:$AU$4-Gebruikt!$AH$18:$AU$18))/14</f>
        <v>0.914285714285714</v>
      </c>
      <c r="U4" s="2" t="n">
        <f aca="false">1-SUMPRODUCT(ABS(Ongebruikt!$AH$4:$AU$4-Gebruikt!$AH$19:$AU$19))/14</f>
        <v>0.971428571428571</v>
      </c>
      <c r="V4" s="2" t="n">
        <f aca="false">1-SUMPRODUCT(ABS(Ongebruikt!$AH$4:$AU$4-Gebruikt!$AH$20:$AU$20))/14</f>
        <v>0.657142857142857</v>
      </c>
      <c r="W4" s="2" t="n">
        <f aca="false">1-SUMPRODUCT(ABS(Ongebruikt!$AH$4:$AU$4-Gebruikt!$AH$21:$AU$21))/14</f>
        <v>0.685714285714286</v>
      </c>
      <c r="X4" s="2" t="n">
        <f aca="false">1-SUMPRODUCT(ABS(Ongebruikt!$AH$4:$AU$4-Gebruikt!$AH$22:$AU$22))/14</f>
        <v>0.707142857142857</v>
      </c>
      <c r="Y4" s="2" t="n">
        <f aca="false">1-SUMPRODUCT(ABS(Ongebruikt!$AH$4:$AU$4-Gebruikt!$AH$23:$AU$23))/14</f>
        <v>0.721428571428571</v>
      </c>
      <c r="Z4" s="2" t="n">
        <f aca="false">1-SUMPRODUCT(ABS(Ongebruikt!$AH$4:$AU$4-Gebruikt!$AH$24:$AU$24))/14</f>
        <v>0.721428571428571</v>
      </c>
      <c r="AA4" s="2" t="n">
        <f aca="false">1-SUMPRODUCT(ABS(Ongebruikt!$AH$4:$AU$4-Gebruikt!$AH$25:$AU$25))/14</f>
        <v>0.914285714285714</v>
      </c>
      <c r="AB4" s="2" t="n">
        <f aca="false">1-SUMPRODUCT(ABS(Ongebruikt!$AH$4:$AU$4-Gebruikt!$AH$26:$AU$26))/14</f>
        <v>0.771428571428571</v>
      </c>
      <c r="AC4" s="2" t="n">
        <f aca="false">1-SUMPRODUCT(ABS(Ongebruikt!$AH$4:$AU$4-Gebruikt!$AH$27:$AU$27))/14</f>
        <v>0.842857142857143</v>
      </c>
      <c r="AD4" s="2" t="n">
        <f aca="false">1-SUMPRODUCT(ABS(Ongebruikt!$AH$4:$AU$4-Gebruikt!$AH$28:$AU$28))/14</f>
        <v>0.771428571428571</v>
      </c>
      <c r="AE4" s="2" t="n">
        <f aca="false">1-SUMPRODUCT(ABS(Ongebruikt!$AH$4:$AU$4-Gebruikt!$AH$29:$AU$29))/14</f>
        <v>0.578571428571429</v>
      </c>
      <c r="AF4" s="2" t="n">
        <f aca="false">1-SUMPRODUCT(ABS(Ongebruikt!$AH$4:$AU$4-Gebruikt!$AH$30:$AU$30))/14</f>
        <v>0.492857142857143</v>
      </c>
      <c r="AG4" s="2" t="n">
        <f aca="false">1-SUMPRODUCT(ABS(Ongebruikt!$AH$4:$AU$4-Gebruikt!$AH$31:$AU$31))/14</f>
        <v>0.985714285714286</v>
      </c>
      <c r="AH4" s="2" t="n">
        <f aca="false">1-SUMPRODUCT(ABS(Ongebruikt!$AH$4:$AU$4-Gebruikt!$AH$32:$AU$32))/14</f>
        <v>0.914285714285714</v>
      </c>
      <c r="AI4" s="2" t="n">
        <f aca="false">1-SUMPRODUCT(ABS(Ongebruikt!$AH$4:$AU$4-Gebruikt!$AH$33:$AU$33))/14</f>
        <v>0.578571428571429</v>
      </c>
      <c r="AJ4" s="2" t="n">
        <f aca="false">1-SUMPRODUCT(ABS(Ongebruikt!$AH$4:$AU$4-Gebruikt!$AH$34:$AU$34))/14</f>
        <v>0.685714285714286</v>
      </c>
      <c r="AK4" s="2" t="n">
        <f aca="false">1-SUMPRODUCT(ABS(Ongebruikt!$AH$4:$AU$4-Gebruikt!$AH$35:$AU$35))/14</f>
        <v>0.721428571428571</v>
      </c>
      <c r="AL4" s="2" t="n">
        <f aca="false">1-SUMPRODUCT(ABS(Ongebruikt!$AH$4:$AU$4-Gebruikt!$AH$36:$AU$36))/14</f>
        <v>0.985714285714286</v>
      </c>
      <c r="AM4" s="2" t="n">
        <f aca="false">1-SUMPRODUCT(ABS(Ongebruikt!$AH$4:$AU$4-Gebruikt!$AH$37:$AU$37))/14</f>
        <v>0.842857142857143</v>
      </c>
      <c r="AN4" s="2" t="n">
        <f aca="false">1-SUMPRODUCT(ABS(Ongebruikt!$AH$4:$AU$4-Gebruikt!$AH$38:$AU$38))/14</f>
        <v>0.578571428571429</v>
      </c>
      <c r="AO4" s="2" t="n">
        <f aca="false">1-SUMPRODUCT(ABS(Ongebruikt!$AH$4:$AU$4-Gebruikt!$AH$39:$AU$39))/14</f>
        <v>0.828571428571429</v>
      </c>
      <c r="AP4" s="2" t="n">
        <f aca="false">1-SUMPRODUCT(ABS(Ongebruikt!$AH$4:$AU$4-Gebruikt!$AH$40:$AU$40))/14</f>
        <v>0.657142857142857</v>
      </c>
      <c r="AQ4" s="2" t="n">
        <f aca="false">1-SUMPRODUCT(ABS(Ongebruikt!$AH$4:$AU$4-Gebruikt!$AH$41:$AU$41))/14</f>
        <v>0.564285714285714</v>
      </c>
      <c r="AR4" s="2" t="n">
        <f aca="false">1-SUMPRODUCT(ABS(Ongebruikt!$AH$4:$AU$4-Gebruikt!$AH$42:$AU$42))/14</f>
        <v>0.657142857142857</v>
      </c>
      <c r="AS4" s="2" t="n">
        <f aca="false">1-SUMPRODUCT(ABS(Ongebruikt!$AH$4:$AU$4-Gebruikt!$AH$43:$AU$43))/14</f>
        <v>0.578571428571429</v>
      </c>
      <c r="AT4" s="2" t="n">
        <f aca="false">1-SUMPRODUCT(ABS(Ongebruikt!$AH$4:$AU$4-Gebruikt!$AH$44:$AU$44))/14</f>
        <v>0.721428571428571</v>
      </c>
      <c r="AU4" s="2" t="n">
        <f aca="false">1-SUMPRODUCT(ABS(Ongebruikt!$AH$4:$AU$4-Gebruikt!$AH$45:$AU$45))/14</f>
        <v>0.578571428571429</v>
      </c>
      <c r="AV4" s="2" t="n">
        <f aca="false">1-SUMPRODUCT(ABS(Ongebruikt!$AH$4:$AU$4-Gebruikt!$AH$46:$AU$46))/14</f>
        <v>0.85</v>
      </c>
      <c r="AW4" s="2" t="n">
        <f aca="false">1-SUMPRODUCT(ABS(Ongebruikt!$AH$4:$AU$4-Gebruikt!$AH$47:$AU$47))/14</f>
        <v>0.657142857142857</v>
      </c>
      <c r="AX4" s="2" t="n">
        <f aca="false">1-SUMPRODUCT(ABS(Ongebruikt!$AH$4:$AU$4-Gebruikt!$AH$48:$AU$48))/14</f>
        <v>0.578571428571429</v>
      </c>
    </row>
    <row r="5" customFormat="false" ht="15" hidden="false" customHeight="false" outlineLevel="0" collapsed="false">
      <c r="A5" s="8" t="str">
        <f aca="false">Ongebruikt!A5</f>
        <v>U02</v>
      </c>
      <c r="B5" s="8" t="str">
        <f aca="false">Ongebruikt!B5</f>
        <v>safegcd jump matrices (62-step batches from low bits)</v>
      </c>
      <c r="C5" s="2" t="n">
        <f aca="false">1-D5</f>
        <v>0.0142857142857142</v>
      </c>
      <c r="D5" s="2" t="n">
        <f aca="false">MAX(F5:AX5)</f>
        <v>0.985714285714286</v>
      </c>
      <c r="E5" s="2" t="str">
        <f aca="false">INDEX(Gebruikt!$B$4:$B$48,MATCH(D5,F5:AX5,0))</f>
        <v>Multi-bit shift per GCD step (jump-GCD K=2 to 8-way barrel e&lt;=7)</v>
      </c>
      <c r="F5" s="2" t="n">
        <f aca="false">1-SUMPRODUCT(ABS(Ongebruikt!$AH$5:$AU$5-Gebruikt!$AH$4:$AU$4))/14</f>
        <v>0.914285714285714</v>
      </c>
      <c r="G5" s="2" t="n">
        <f aca="false">1-SUMPRODUCT(ABS(Ongebruikt!$AH$5:$AU$5-Gebruikt!$AH$5:$AU$5))/14</f>
        <v>0.685714285714286</v>
      </c>
      <c r="H5" s="2" t="n">
        <f aca="false">1-SUMPRODUCT(ABS(Ongebruikt!$AH$5:$AU$5-Gebruikt!$AH$6:$AU$6))/14</f>
        <v>0.685714285714286</v>
      </c>
      <c r="I5" s="2" t="n">
        <f aca="false">1-SUMPRODUCT(ABS(Ongebruikt!$AH$5:$AU$5-Gebruikt!$AH$7:$AU$7))/14</f>
        <v>0.614285714285714</v>
      </c>
      <c r="J5" s="2" t="n">
        <f aca="false">1-SUMPRODUCT(ABS(Ongebruikt!$AH$5:$AU$5-Gebruikt!$AH$8:$AU$8))/14</f>
        <v>0.721428571428571</v>
      </c>
      <c r="K5" s="2" t="n">
        <f aca="false">1-SUMPRODUCT(ABS(Ongebruikt!$AH$5:$AU$5-Gebruikt!$AH$9:$AU$9))/14</f>
        <v>0.657142857142857</v>
      </c>
      <c r="L5" s="2" t="n">
        <f aca="false">1-SUMPRODUCT(ABS(Ongebruikt!$AH$5:$AU$5-Gebruikt!$AH$10:$AU$10))/14</f>
        <v>0.657142857142857</v>
      </c>
      <c r="M5" s="2" t="n">
        <f aca="false">1-SUMPRODUCT(ABS(Ongebruikt!$AH$5:$AU$5-Gebruikt!$AH$11:$AU$11))/14</f>
        <v>0.657142857142857</v>
      </c>
      <c r="N5" s="2" t="n">
        <f aca="false">1-SUMPRODUCT(ABS(Ongebruikt!$AH$5:$AU$5-Gebruikt!$AH$12:$AU$12))/14</f>
        <v>0.621428571428571</v>
      </c>
      <c r="O5" s="2" t="n">
        <f aca="false">1-SUMPRODUCT(ABS(Ongebruikt!$AH$5:$AU$5-Gebruikt!$AH$13:$AU$13))/14</f>
        <v>0.742857142857143</v>
      </c>
      <c r="P5" s="2" t="n">
        <f aca="false">1-SUMPRODUCT(ABS(Ongebruikt!$AH$5:$AU$5-Gebruikt!$AH$14:$AU$14))/14</f>
        <v>0.585714285714286</v>
      </c>
      <c r="Q5" s="2" t="n">
        <f aca="false">1-SUMPRODUCT(ABS(Ongebruikt!$AH$5:$AU$5-Gebruikt!$AH$15:$AU$15))/14</f>
        <v>0.657142857142857</v>
      </c>
      <c r="R5" s="2" t="n">
        <f aca="false">1-SUMPRODUCT(ABS(Ongebruikt!$AH$5:$AU$5-Gebruikt!$AH$16:$AU$16))/14</f>
        <v>0.657142857142857</v>
      </c>
      <c r="S5" s="2" t="n">
        <f aca="false">1-SUMPRODUCT(ABS(Ongebruikt!$AH$5:$AU$5-Gebruikt!$AH$17:$AU$17))/14</f>
        <v>0.55</v>
      </c>
      <c r="T5" s="2" t="n">
        <f aca="false">1-SUMPRODUCT(ABS(Ongebruikt!$AH$5:$AU$5-Gebruikt!$AH$18:$AU$18))/14</f>
        <v>0.914285714285714</v>
      </c>
      <c r="U5" s="2" t="n">
        <f aca="false">1-SUMPRODUCT(ABS(Ongebruikt!$AH$5:$AU$5-Gebruikt!$AH$19:$AU$19))/14</f>
        <v>0.971428571428571</v>
      </c>
      <c r="V5" s="2" t="n">
        <f aca="false">1-SUMPRODUCT(ABS(Ongebruikt!$AH$5:$AU$5-Gebruikt!$AH$20:$AU$20))/14</f>
        <v>0.657142857142857</v>
      </c>
      <c r="W5" s="2" t="n">
        <f aca="false">1-SUMPRODUCT(ABS(Ongebruikt!$AH$5:$AU$5-Gebruikt!$AH$21:$AU$21))/14</f>
        <v>0.685714285714286</v>
      </c>
      <c r="X5" s="2" t="n">
        <f aca="false">1-SUMPRODUCT(ABS(Ongebruikt!$AH$5:$AU$5-Gebruikt!$AH$22:$AU$22))/14</f>
        <v>0.678571428571429</v>
      </c>
      <c r="Y5" s="2" t="n">
        <f aca="false">1-SUMPRODUCT(ABS(Ongebruikt!$AH$5:$AU$5-Gebruikt!$AH$23:$AU$23))/14</f>
        <v>0.721428571428571</v>
      </c>
      <c r="Z5" s="2" t="n">
        <f aca="false">1-SUMPRODUCT(ABS(Ongebruikt!$AH$5:$AU$5-Gebruikt!$AH$24:$AU$24))/14</f>
        <v>0.721428571428571</v>
      </c>
      <c r="AA5" s="2" t="n">
        <f aca="false">1-SUMPRODUCT(ABS(Ongebruikt!$AH$5:$AU$5-Gebruikt!$AH$25:$AU$25))/14</f>
        <v>0.885714285714286</v>
      </c>
      <c r="AB5" s="2" t="n">
        <f aca="false">1-SUMPRODUCT(ABS(Ongebruikt!$AH$5:$AU$5-Gebruikt!$AH$26:$AU$26))/14</f>
        <v>0.742857142857143</v>
      </c>
      <c r="AC5" s="2" t="n">
        <f aca="false">1-SUMPRODUCT(ABS(Ongebruikt!$AH$5:$AU$5-Gebruikt!$AH$27:$AU$27))/14</f>
        <v>0.814285714285714</v>
      </c>
      <c r="AD5" s="2" t="n">
        <f aca="false">1-SUMPRODUCT(ABS(Ongebruikt!$AH$5:$AU$5-Gebruikt!$AH$28:$AU$28))/14</f>
        <v>0.742857142857143</v>
      </c>
      <c r="AE5" s="2" t="n">
        <f aca="false">1-SUMPRODUCT(ABS(Ongebruikt!$AH$5:$AU$5-Gebruikt!$AH$29:$AU$29))/14</f>
        <v>0.578571428571429</v>
      </c>
      <c r="AF5" s="2" t="n">
        <f aca="false">1-SUMPRODUCT(ABS(Ongebruikt!$AH$5:$AU$5-Gebruikt!$AH$30:$AU$30))/14</f>
        <v>0.464285714285714</v>
      </c>
      <c r="AG5" s="2" t="n">
        <f aca="false">1-SUMPRODUCT(ABS(Ongebruikt!$AH$5:$AU$5-Gebruikt!$AH$31:$AU$31))/14</f>
        <v>0.985714285714286</v>
      </c>
      <c r="AH5" s="2" t="n">
        <f aca="false">1-SUMPRODUCT(ABS(Ongebruikt!$AH$5:$AU$5-Gebruikt!$AH$32:$AU$32))/14</f>
        <v>0.914285714285714</v>
      </c>
      <c r="AI5" s="2" t="n">
        <f aca="false">1-SUMPRODUCT(ABS(Ongebruikt!$AH$5:$AU$5-Gebruikt!$AH$33:$AU$33))/14</f>
        <v>0.578571428571429</v>
      </c>
      <c r="AJ5" s="2" t="n">
        <f aca="false">1-SUMPRODUCT(ABS(Ongebruikt!$AH$5:$AU$5-Gebruikt!$AH$34:$AU$34))/14</f>
        <v>0.685714285714286</v>
      </c>
      <c r="AK5" s="2" t="n">
        <f aca="false">1-SUMPRODUCT(ABS(Ongebruikt!$AH$5:$AU$5-Gebruikt!$AH$35:$AU$35))/14</f>
        <v>0.721428571428571</v>
      </c>
      <c r="AL5" s="2" t="n">
        <f aca="false">1-SUMPRODUCT(ABS(Ongebruikt!$AH$5:$AU$5-Gebruikt!$AH$36:$AU$36))/14</f>
        <v>0.985714285714286</v>
      </c>
      <c r="AM5" s="2" t="n">
        <f aca="false">1-SUMPRODUCT(ABS(Ongebruikt!$AH$5:$AU$5-Gebruikt!$AH$37:$AU$37))/14</f>
        <v>0.842857142857143</v>
      </c>
      <c r="AN5" s="2" t="n">
        <f aca="false">1-SUMPRODUCT(ABS(Ongebruikt!$AH$5:$AU$5-Gebruikt!$AH$38:$AU$38))/14</f>
        <v>0.578571428571429</v>
      </c>
      <c r="AO5" s="2" t="n">
        <f aca="false">1-SUMPRODUCT(ABS(Ongebruikt!$AH$5:$AU$5-Gebruikt!$AH$39:$AU$39))/14</f>
        <v>0.828571428571429</v>
      </c>
      <c r="AP5" s="2" t="n">
        <f aca="false">1-SUMPRODUCT(ABS(Ongebruikt!$AH$5:$AU$5-Gebruikt!$AH$40:$AU$40))/14</f>
        <v>0.657142857142857</v>
      </c>
      <c r="AQ5" s="2" t="n">
        <f aca="false">1-SUMPRODUCT(ABS(Ongebruikt!$AH$5:$AU$5-Gebruikt!$AH$41:$AU$41))/14</f>
        <v>0.535714285714286</v>
      </c>
      <c r="AR5" s="2" t="n">
        <f aca="false">1-SUMPRODUCT(ABS(Ongebruikt!$AH$5:$AU$5-Gebruikt!$AH$42:$AU$42))/14</f>
        <v>0.657142857142857</v>
      </c>
      <c r="AS5" s="2" t="n">
        <f aca="false">1-SUMPRODUCT(ABS(Ongebruikt!$AH$5:$AU$5-Gebruikt!$AH$43:$AU$43))/14</f>
        <v>0.55</v>
      </c>
      <c r="AT5" s="2" t="n">
        <f aca="false">1-SUMPRODUCT(ABS(Ongebruikt!$AH$5:$AU$5-Gebruikt!$AH$44:$AU$44))/14</f>
        <v>0.692857142857143</v>
      </c>
      <c r="AU5" s="2" t="n">
        <f aca="false">1-SUMPRODUCT(ABS(Ongebruikt!$AH$5:$AU$5-Gebruikt!$AH$45:$AU$45))/14</f>
        <v>0.55</v>
      </c>
      <c r="AV5" s="2" t="n">
        <f aca="false">1-SUMPRODUCT(ABS(Ongebruikt!$AH$5:$AU$5-Gebruikt!$AH$46:$AU$46))/14</f>
        <v>0.821428571428571</v>
      </c>
      <c r="AW5" s="2" t="n">
        <f aca="false">1-SUMPRODUCT(ABS(Ongebruikt!$AH$5:$AU$5-Gebruikt!$AH$47:$AU$47))/14</f>
        <v>0.657142857142857</v>
      </c>
      <c r="AX5" s="2" t="n">
        <f aca="false">1-SUMPRODUCT(ABS(Ongebruikt!$AH$5:$AU$5-Gebruikt!$AH$48:$AU$48))/14</f>
        <v>0.55</v>
      </c>
    </row>
    <row r="6" customFormat="false" ht="15" hidden="false" customHeight="false" outlineLevel="0" collapsed="false">
      <c r="A6" s="8" t="str">
        <f aca="false">Ongebruikt!A6</f>
        <v>U03</v>
      </c>
      <c r="B6" s="8" t="str">
        <f aca="false">Ongebruikt!B6</f>
        <v>k-ary GCD with small-multiplier table (Sorenson/Weber)</v>
      </c>
      <c r="C6" s="2" t="n">
        <f aca="false">1-D6</f>
        <v>0.1</v>
      </c>
      <c r="D6" s="2" t="n">
        <f aca="false">MAX(F6:AX6)</f>
        <v>0.9</v>
      </c>
      <c r="E6" s="2" t="str">
        <f aca="false">INDEX(Gebruikt!$B$4:$B$48,MATCH(D6,F6:AX6,0))</f>
        <v>Multi-bit shift per GCD step (jump-GCD K=2 to 8-way barrel e&lt;=7)</v>
      </c>
      <c r="F6" s="2" t="n">
        <f aca="false">1-SUMPRODUCT(ABS(Ongebruikt!$AH$6:$AU$6-Gebruikt!$AH$4:$AU$4))/14</f>
        <v>0.828571428571429</v>
      </c>
      <c r="G6" s="2" t="n">
        <f aca="false">1-SUMPRODUCT(ABS(Ongebruikt!$AH$6:$AU$6-Gebruikt!$AH$5:$AU$5))/14</f>
        <v>0.6</v>
      </c>
      <c r="H6" s="2" t="n">
        <f aca="false">1-SUMPRODUCT(ABS(Ongebruikt!$AH$6:$AU$6-Gebruikt!$AH$6:$AU$6))/14</f>
        <v>0.6</v>
      </c>
      <c r="I6" s="2" t="n">
        <f aca="false">1-SUMPRODUCT(ABS(Ongebruikt!$AH$6:$AU$6-Gebruikt!$AH$7:$AU$7))/14</f>
        <v>0.528571428571429</v>
      </c>
      <c r="J6" s="2" t="n">
        <f aca="false">1-SUMPRODUCT(ABS(Ongebruikt!$AH$6:$AU$6-Gebruikt!$AH$8:$AU$8))/14</f>
        <v>0.635714285714286</v>
      </c>
      <c r="K6" s="2" t="n">
        <f aca="false">1-SUMPRODUCT(ABS(Ongebruikt!$AH$6:$AU$6-Gebruikt!$AH$9:$AU$9))/14</f>
        <v>0.571428571428571</v>
      </c>
      <c r="L6" s="2" t="n">
        <f aca="false">1-SUMPRODUCT(ABS(Ongebruikt!$AH$6:$AU$6-Gebruikt!$AH$10:$AU$10))/14</f>
        <v>0.571428571428571</v>
      </c>
      <c r="M6" s="2" t="n">
        <f aca="false">1-SUMPRODUCT(ABS(Ongebruikt!$AH$6:$AU$6-Gebruikt!$AH$11:$AU$11))/14</f>
        <v>0.571428571428571</v>
      </c>
      <c r="N6" s="2" t="n">
        <f aca="false">1-SUMPRODUCT(ABS(Ongebruikt!$AH$6:$AU$6-Gebruikt!$AH$12:$AU$12))/14</f>
        <v>0.535714285714286</v>
      </c>
      <c r="O6" s="2" t="n">
        <f aca="false">1-SUMPRODUCT(ABS(Ongebruikt!$AH$6:$AU$6-Gebruikt!$AH$13:$AU$13))/14</f>
        <v>0.8</v>
      </c>
      <c r="P6" s="2" t="n">
        <f aca="false">1-SUMPRODUCT(ABS(Ongebruikt!$AH$6:$AU$6-Gebruikt!$AH$14:$AU$14))/14</f>
        <v>0.5</v>
      </c>
      <c r="Q6" s="2" t="n">
        <f aca="false">1-SUMPRODUCT(ABS(Ongebruikt!$AH$6:$AU$6-Gebruikt!$AH$15:$AU$15))/14</f>
        <v>0.571428571428571</v>
      </c>
      <c r="R6" s="2" t="n">
        <f aca="false">1-SUMPRODUCT(ABS(Ongebruikt!$AH$6:$AU$6-Gebruikt!$AH$16:$AU$16))/14</f>
        <v>0.571428571428571</v>
      </c>
      <c r="S6" s="2" t="n">
        <f aca="false">1-SUMPRODUCT(ABS(Ongebruikt!$AH$6:$AU$6-Gebruikt!$AH$17:$AU$17))/14</f>
        <v>0.464285714285714</v>
      </c>
      <c r="T6" s="2" t="n">
        <f aca="false">1-SUMPRODUCT(ABS(Ongebruikt!$AH$6:$AU$6-Gebruikt!$AH$18:$AU$18))/14</f>
        <v>0.828571428571429</v>
      </c>
      <c r="U6" s="2" t="n">
        <f aca="false">1-SUMPRODUCT(ABS(Ongebruikt!$AH$6:$AU$6-Gebruikt!$AH$19:$AU$19))/14</f>
        <v>0.885714285714286</v>
      </c>
      <c r="V6" s="2" t="n">
        <f aca="false">1-SUMPRODUCT(ABS(Ongebruikt!$AH$6:$AU$6-Gebruikt!$AH$20:$AU$20))/14</f>
        <v>0.571428571428571</v>
      </c>
      <c r="W6" s="2" t="n">
        <f aca="false">1-SUMPRODUCT(ABS(Ongebruikt!$AH$6:$AU$6-Gebruikt!$AH$21:$AU$21))/14</f>
        <v>0.6</v>
      </c>
      <c r="X6" s="2" t="n">
        <f aca="false">1-SUMPRODUCT(ABS(Ongebruikt!$AH$6:$AU$6-Gebruikt!$AH$22:$AU$22))/14</f>
        <v>0.592857142857143</v>
      </c>
      <c r="Y6" s="2" t="n">
        <f aca="false">1-SUMPRODUCT(ABS(Ongebruikt!$AH$6:$AU$6-Gebruikt!$AH$23:$AU$23))/14</f>
        <v>0.635714285714286</v>
      </c>
      <c r="Z6" s="2" t="n">
        <f aca="false">1-SUMPRODUCT(ABS(Ongebruikt!$AH$6:$AU$6-Gebruikt!$AH$24:$AU$24))/14</f>
        <v>0.635714285714286</v>
      </c>
      <c r="AA6" s="2" t="n">
        <f aca="false">1-SUMPRODUCT(ABS(Ongebruikt!$AH$6:$AU$6-Gebruikt!$AH$25:$AU$25))/14</f>
        <v>0.8</v>
      </c>
      <c r="AB6" s="2" t="n">
        <f aca="false">1-SUMPRODUCT(ABS(Ongebruikt!$AH$6:$AU$6-Gebruikt!$AH$26:$AU$26))/14</f>
        <v>0.657142857142857</v>
      </c>
      <c r="AC6" s="2" t="n">
        <f aca="false">1-SUMPRODUCT(ABS(Ongebruikt!$AH$6:$AU$6-Gebruikt!$AH$27:$AU$27))/14</f>
        <v>0.871428571428571</v>
      </c>
      <c r="AD6" s="2" t="n">
        <f aca="false">1-SUMPRODUCT(ABS(Ongebruikt!$AH$6:$AU$6-Gebruikt!$AH$28:$AU$28))/14</f>
        <v>0.8</v>
      </c>
      <c r="AE6" s="2" t="n">
        <f aca="false">1-SUMPRODUCT(ABS(Ongebruikt!$AH$6:$AU$6-Gebruikt!$AH$29:$AU$29))/14</f>
        <v>0.492857142857143</v>
      </c>
      <c r="AF6" s="2" t="n">
        <f aca="false">1-SUMPRODUCT(ABS(Ongebruikt!$AH$6:$AU$6-Gebruikt!$AH$30:$AU$30))/14</f>
        <v>0.521428571428571</v>
      </c>
      <c r="AG6" s="2" t="n">
        <f aca="false">1-SUMPRODUCT(ABS(Ongebruikt!$AH$6:$AU$6-Gebruikt!$AH$31:$AU$31))/14</f>
        <v>0.9</v>
      </c>
      <c r="AH6" s="2" t="n">
        <f aca="false">1-SUMPRODUCT(ABS(Ongebruikt!$AH$6:$AU$6-Gebruikt!$AH$32:$AU$32))/14</f>
        <v>0.828571428571429</v>
      </c>
      <c r="AI6" s="2" t="n">
        <f aca="false">1-SUMPRODUCT(ABS(Ongebruikt!$AH$6:$AU$6-Gebruikt!$AH$33:$AU$33))/14</f>
        <v>0.492857142857143</v>
      </c>
      <c r="AJ6" s="2" t="n">
        <f aca="false">1-SUMPRODUCT(ABS(Ongebruikt!$AH$6:$AU$6-Gebruikt!$AH$34:$AU$34))/14</f>
        <v>0.6</v>
      </c>
      <c r="AK6" s="2" t="n">
        <f aca="false">1-SUMPRODUCT(ABS(Ongebruikt!$AH$6:$AU$6-Gebruikt!$AH$35:$AU$35))/14</f>
        <v>0.635714285714286</v>
      </c>
      <c r="AL6" s="2" t="n">
        <f aca="false">1-SUMPRODUCT(ABS(Ongebruikt!$AH$6:$AU$6-Gebruikt!$AH$36:$AU$36))/14</f>
        <v>0.9</v>
      </c>
      <c r="AM6" s="2" t="n">
        <f aca="false">1-SUMPRODUCT(ABS(Ongebruikt!$AH$6:$AU$6-Gebruikt!$AH$37:$AU$37))/14</f>
        <v>0.757142857142857</v>
      </c>
      <c r="AN6" s="2" t="n">
        <f aca="false">1-SUMPRODUCT(ABS(Ongebruikt!$AH$6:$AU$6-Gebruikt!$AH$38:$AU$38))/14</f>
        <v>0.492857142857143</v>
      </c>
      <c r="AO6" s="2" t="n">
        <f aca="false">1-SUMPRODUCT(ABS(Ongebruikt!$AH$6:$AU$6-Gebruikt!$AH$39:$AU$39))/14</f>
        <v>0.742857142857143</v>
      </c>
      <c r="AP6" s="2" t="n">
        <f aca="false">1-SUMPRODUCT(ABS(Ongebruikt!$AH$6:$AU$6-Gebruikt!$AH$40:$AU$40))/14</f>
        <v>0.571428571428571</v>
      </c>
      <c r="AQ6" s="2" t="n">
        <f aca="false">1-SUMPRODUCT(ABS(Ongebruikt!$AH$6:$AU$6-Gebruikt!$AH$41:$AU$41))/14</f>
        <v>0.592857142857143</v>
      </c>
      <c r="AR6" s="2" t="n">
        <f aca="false">1-SUMPRODUCT(ABS(Ongebruikt!$AH$6:$AU$6-Gebruikt!$AH$42:$AU$42))/14</f>
        <v>0.571428571428571</v>
      </c>
      <c r="AS6" s="2" t="n">
        <f aca="false">1-SUMPRODUCT(ABS(Ongebruikt!$AH$6:$AU$6-Gebruikt!$AH$43:$AU$43))/14</f>
        <v>0.464285714285714</v>
      </c>
      <c r="AT6" s="2" t="n">
        <f aca="false">1-SUMPRODUCT(ABS(Ongebruikt!$AH$6:$AU$6-Gebruikt!$AH$44:$AU$44))/14</f>
        <v>0.607142857142857</v>
      </c>
      <c r="AU6" s="2" t="n">
        <f aca="false">1-SUMPRODUCT(ABS(Ongebruikt!$AH$6:$AU$6-Gebruikt!$AH$45:$AU$45))/14</f>
        <v>0.464285714285714</v>
      </c>
      <c r="AV6" s="2" t="n">
        <f aca="false">1-SUMPRODUCT(ABS(Ongebruikt!$AH$6:$AU$6-Gebruikt!$AH$46:$AU$46))/14</f>
        <v>0.735714285714286</v>
      </c>
      <c r="AW6" s="2" t="n">
        <f aca="false">1-SUMPRODUCT(ABS(Ongebruikt!$AH$6:$AU$6-Gebruikt!$AH$47:$AU$47))/14</f>
        <v>0.571428571428571</v>
      </c>
      <c r="AX6" s="2" t="n">
        <f aca="false">1-SUMPRODUCT(ABS(Ongebruikt!$AH$6:$AU$6-Gebruikt!$AH$48:$AU$48))/14</f>
        <v>0.464285714285714</v>
      </c>
    </row>
    <row r="7" customFormat="false" ht="15" hidden="false" customHeight="false" outlineLevel="0" collapsed="false">
      <c r="A7" s="8" t="str">
        <f aca="false">Ongebruikt!A7</f>
        <v>U04</v>
      </c>
      <c r="B7" s="8" t="str">
        <f aca="false">Ongebruikt!B7</f>
        <v>Lehmer / half-GCD (Schonhage, Stehle-Zimmermann)</v>
      </c>
      <c r="C7" s="2" t="n">
        <f aca="false">1-D7</f>
        <v>0.0571428571428572</v>
      </c>
      <c r="D7" s="2" t="n">
        <f aca="false">MAX(F7:AX7)</f>
        <v>0.942857142857143</v>
      </c>
      <c r="E7" s="2" t="str">
        <f aca="false">INDEX(Gebruikt!$B$4:$B$48,MATCH(D7,F7:AX7,0))</f>
        <v>Multi-bit shift per GCD step (jump-GCD K=2 to 8-way barrel e&lt;=7)</v>
      </c>
      <c r="F7" s="2" t="n">
        <f aca="false">1-SUMPRODUCT(ABS(Ongebruikt!$AH$7:$AU$7-Gebruikt!$AH$4:$AU$4))/14</f>
        <v>0.871428571428571</v>
      </c>
      <c r="G7" s="2" t="n">
        <f aca="false">1-SUMPRODUCT(ABS(Ongebruikt!$AH$7:$AU$7-Gebruikt!$AH$5:$AU$5))/14</f>
        <v>0.642857142857143</v>
      </c>
      <c r="H7" s="2" t="n">
        <f aca="false">1-SUMPRODUCT(ABS(Ongebruikt!$AH$7:$AU$7-Gebruikt!$AH$6:$AU$6))/14</f>
        <v>0.642857142857143</v>
      </c>
      <c r="I7" s="2" t="n">
        <f aca="false">1-SUMPRODUCT(ABS(Ongebruikt!$AH$7:$AU$7-Gebruikt!$AH$7:$AU$7))/14</f>
        <v>0.571428571428571</v>
      </c>
      <c r="J7" s="2" t="n">
        <f aca="false">1-SUMPRODUCT(ABS(Ongebruikt!$AH$7:$AU$7-Gebruikt!$AH$8:$AU$8))/14</f>
        <v>0.678571428571429</v>
      </c>
      <c r="K7" s="2" t="n">
        <f aca="false">1-SUMPRODUCT(ABS(Ongebruikt!$AH$7:$AU$7-Gebruikt!$AH$9:$AU$9))/14</f>
        <v>0.614285714285714</v>
      </c>
      <c r="L7" s="2" t="n">
        <f aca="false">1-SUMPRODUCT(ABS(Ongebruikt!$AH$7:$AU$7-Gebruikt!$AH$10:$AU$10))/14</f>
        <v>0.614285714285714</v>
      </c>
      <c r="M7" s="2" t="n">
        <f aca="false">1-SUMPRODUCT(ABS(Ongebruikt!$AH$7:$AU$7-Gebruikt!$AH$11:$AU$11))/14</f>
        <v>0.614285714285714</v>
      </c>
      <c r="N7" s="2" t="n">
        <f aca="false">1-SUMPRODUCT(ABS(Ongebruikt!$AH$7:$AU$7-Gebruikt!$AH$12:$AU$12))/14</f>
        <v>0.578571428571429</v>
      </c>
      <c r="O7" s="2" t="n">
        <f aca="false">1-SUMPRODUCT(ABS(Ongebruikt!$AH$7:$AU$7-Gebruikt!$AH$13:$AU$13))/14</f>
        <v>0.7</v>
      </c>
      <c r="P7" s="2" t="n">
        <f aca="false">1-SUMPRODUCT(ABS(Ongebruikt!$AH$7:$AU$7-Gebruikt!$AH$14:$AU$14))/14</f>
        <v>0.542857142857143</v>
      </c>
      <c r="Q7" s="2" t="n">
        <f aca="false">1-SUMPRODUCT(ABS(Ongebruikt!$AH$7:$AU$7-Gebruikt!$AH$15:$AU$15))/14</f>
        <v>0.614285714285714</v>
      </c>
      <c r="R7" s="2" t="n">
        <f aca="false">1-SUMPRODUCT(ABS(Ongebruikt!$AH$7:$AU$7-Gebruikt!$AH$16:$AU$16))/14</f>
        <v>0.614285714285714</v>
      </c>
      <c r="S7" s="2" t="n">
        <f aca="false">1-SUMPRODUCT(ABS(Ongebruikt!$AH$7:$AU$7-Gebruikt!$AH$17:$AU$17))/14</f>
        <v>0.507142857142857</v>
      </c>
      <c r="T7" s="2" t="n">
        <f aca="false">1-SUMPRODUCT(ABS(Ongebruikt!$AH$7:$AU$7-Gebruikt!$AH$18:$AU$18))/14</f>
        <v>0.871428571428571</v>
      </c>
      <c r="U7" s="2" t="n">
        <f aca="false">1-SUMPRODUCT(ABS(Ongebruikt!$AH$7:$AU$7-Gebruikt!$AH$19:$AU$19))/14</f>
        <v>0.928571428571429</v>
      </c>
      <c r="V7" s="2" t="n">
        <f aca="false">1-SUMPRODUCT(ABS(Ongebruikt!$AH$7:$AU$7-Gebruikt!$AH$20:$AU$20))/14</f>
        <v>0.614285714285714</v>
      </c>
      <c r="W7" s="2" t="n">
        <f aca="false">1-SUMPRODUCT(ABS(Ongebruikt!$AH$7:$AU$7-Gebruikt!$AH$21:$AU$21))/14</f>
        <v>0.642857142857143</v>
      </c>
      <c r="X7" s="2" t="n">
        <f aca="false">1-SUMPRODUCT(ABS(Ongebruikt!$AH$7:$AU$7-Gebruikt!$AH$22:$AU$22))/14</f>
        <v>0.635714285714286</v>
      </c>
      <c r="Y7" s="2" t="n">
        <f aca="false">1-SUMPRODUCT(ABS(Ongebruikt!$AH$7:$AU$7-Gebruikt!$AH$23:$AU$23))/14</f>
        <v>0.678571428571429</v>
      </c>
      <c r="Z7" s="2" t="n">
        <f aca="false">1-SUMPRODUCT(ABS(Ongebruikt!$AH$7:$AU$7-Gebruikt!$AH$24:$AU$24))/14</f>
        <v>0.678571428571429</v>
      </c>
      <c r="AA7" s="2" t="n">
        <f aca="false">1-SUMPRODUCT(ABS(Ongebruikt!$AH$7:$AU$7-Gebruikt!$AH$25:$AU$25))/14</f>
        <v>0.842857142857143</v>
      </c>
      <c r="AB7" s="2" t="n">
        <f aca="false">1-SUMPRODUCT(ABS(Ongebruikt!$AH$7:$AU$7-Gebruikt!$AH$26:$AU$26))/14</f>
        <v>0.7</v>
      </c>
      <c r="AC7" s="2" t="n">
        <f aca="false">1-SUMPRODUCT(ABS(Ongebruikt!$AH$7:$AU$7-Gebruikt!$AH$27:$AU$27))/14</f>
        <v>0.771428571428571</v>
      </c>
      <c r="AD7" s="2" t="n">
        <f aca="false">1-SUMPRODUCT(ABS(Ongebruikt!$AH$7:$AU$7-Gebruikt!$AH$28:$AU$28))/14</f>
        <v>0.7</v>
      </c>
      <c r="AE7" s="2" t="n">
        <f aca="false">1-SUMPRODUCT(ABS(Ongebruikt!$AH$7:$AU$7-Gebruikt!$AH$29:$AU$29))/14</f>
        <v>0.535714285714286</v>
      </c>
      <c r="AF7" s="2" t="n">
        <f aca="false">1-SUMPRODUCT(ABS(Ongebruikt!$AH$7:$AU$7-Gebruikt!$AH$30:$AU$30))/14</f>
        <v>0.421428571428572</v>
      </c>
      <c r="AG7" s="2" t="n">
        <f aca="false">1-SUMPRODUCT(ABS(Ongebruikt!$AH$7:$AU$7-Gebruikt!$AH$31:$AU$31))/14</f>
        <v>0.942857142857143</v>
      </c>
      <c r="AH7" s="2" t="n">
        <f aca="false">1-SUMPRODUCT(ABS(Ongebruikt!$AH$7:$AU$7-Gebruikt!$AH$32:$AU$32))/14</f>
        <v>0.871428571428571</v>
      </c>
      <c r="AI7" s="2" t="n">
        <f aca="false">1-SUMPRODUCT(ABS(Ongebruikt!$AH$7:$AU$7-Gebruikt!$AH$33:$AU$33))/14</f>
        <v>0.535714285714286</v>
      </c>
      <c r="AJ7" s="2" t="n">
        <f aca="false">1-SUMPRODUCT(ABS(Ongebruikt!$AH$7:$AU$7-Gebruikt!$AH$34:$AU$34))/14</f>
        <v>0.642857142857143</v>
      </c>
      <c r="AK7" s="2" t="n">
        <f aca="false">1-SUMPRODUCT(ABS(Ongebruikt!$AH$7:$AU$7-Gebruikt!$AH$35:$AU$35))/14</f>
        <v>0.678571428571429</v>
      </c>
      <c r="AL7" s="2" t="n">
        <f aca="false">1-SUMPRODUCT(ABS(Ongebruikt!$AH$7:$AU$7-Gebruikt!$AH$36:$AU$36))/14</f>
        <v>0.942857142857143</v>
      </c>
      <c r="AM7" s="2" t="n">
        <f aca="false">1-SUMPRODUCT(ABS(Ongebruikt!$AH$7:$AU$7-Gebruikt!$AH$37:$AU$37))/14</f>
        <v>0.8</v>
      </c>
      <c r="AN7" s="2" t="n">
        <f aca="false">1-SUMPRODUCT(ABS(Ongebruikt!$AH$7:$AU$7-Gebruikt!$AH$38:$AU$38))/14</f>
        <v>0.535714285714286</v>
      </c>
      <c r="AO7" s="2" t="n">
        <f aca="false">1-SUMPRODUCT(ABS(Ongebruikt!$AH$7:$AU$7-Gebruikt!$AH$39:$AU$39))/14</f>
        <v>0.785714285714286</v>
      </c>
      <c r="AP7" s="2" t="n">
        <f aca="false">1-SUMPRODUCT(ABS(Ongebruikt!$AH$7:$AU$7-Gebruikt!$AH$40:$AU$40))/14</f>
        <v>0.614285714285714</v>
      </c>
      <c r="AQ7" s="2" t="n">
        <f aca="false">1-SUMPRODUCT(ABS(Ongebruikt!$AH$7:$AU$7-Gebruikt!$AH$41:$AU$41))/14</f>
        <v>0.492857142857143</v>
      </c>
      <c r="AR7" s="2" t="n">
        <f aca="false">1-SUMPRODUCT(ABS(Ongebruikt!$AH$7:$AU$7-Gebruikt!$AH$42:$AU$42))/14</f>
        <v>0.614285714285714</v>
      </c>
      <c r="AS7" s="2" t="n">
        <f aca="false">1-SUMPRODUCT(ABS(Ongebruikt!$AH$7:$AU$7-Gebruikt!$AH$43:$AU$43))/14</f>
        <v>0.507142857142857</v>
      </c>
      <c r="AT7" s="2" t="n">
        <f aca="false">1-SUMPRODUCT(ABS(Ongebruikt!$AH$7:$AU$7-Gebruikt!$AH$44:$AU$44))/14</f>
        <v>0.65</v>
      </c>
      <c r="AU7" s="2" t="n">
        <f aca="false">1-SUMPRODUCT(ABS(Ongebruikt!$AH$7:$AU$7-Gebruikt!$AH$45:$AU$45))/14</f>
        <v>0.507142857142857</v>
      </c>
      <c r="AV7" s="2" t="n">
        <f aca="false">1-SUMPRODUCT(ABS(Ongebruikt!$AH$7:$AU$7-Gebruikt!$AH$46:$AU$46))/14</f>
        <v>0.778571428571429</v>
      </c>
      <c r="AW7" s="2" t="n">
        <f aca="false">1-SUMPRODUCT(ABS(Ongebruikt!$AH$7:$AU$7-Gebruikt!$AH$47:$AU$47))/14</f>
        <v>0.614285714285714</v>
      </c>
      <c r="AX7" s="2" t="n">
        <f aca="false">1-SUMPRODUCT(ABS(Ongebruikt!$AH$7:$AU$7-Gebruikt!$AH$48:$AU$48))/14</f>
        <v>0.507142857142857</v>
      </c>
    </row>
    <row r="8" customFormat="false" ht="15" hidden="false" customHeight="false" outlineLevel="0" collapsed="false">
      <c r="A8" s="8" t="str">
        <f aca="false">Ongebruikt!A8</f>
        <v>U05</v>
      </c>
      <c r="B8" s="8" t="str">
        <f aca="false">Ongebruikt!B8</f>
        <v>Extended Euclid with quotients + register sharing (Proos-Zalka)</v>
      </c>
      <c r="C8" s="2" t="n">
        <f aca="false">1-D8</f>
        <v>0.0571428571428572</v>
      </c>
      <c r="D8" s="2" t="n">
        <f aca="false">MAX(F8:AX8)</f>
        <v>0.942857142857143</v>
      </c>
      <c r="E8" s="2" t="str">
        <f aca="false">INDEX(Gebruikt!$B$4:$B$48,MATCH(D8,F8:AX8,0))</f>
        <v>Multi-bit shift per GCD step (jump-GCD K=2 to 8-way barrel e&lt;=7)</v>
      </c>
      <c r="F8" s="2" t="n">
        <f aca="false">1-SUMPRODUCT(ABS(Ongebruikt!$AH$8:$AU$8-Gebruikt!$AH$4:$AU$4))/14</f>
        <v>0.871428571428571</v>
      </c>
      <c r="G8" s="2" t="n">
        <f aca="false">1-SUMPRODUCT(ABS(Ongebruikt!$AH$8:$AU$8-Gebruikt!$AH$5:$AU$5))/14</f>
        <v>0.642857142857143</v>
      </c>
      <c r="H8" s="2" t="n">
        <f aca="false">1-SUMPRODUCT(ABS(Ongebruikt!$AH$8:$AU$8-Gebruikt!$AH$6:$AU$6))/14</f>
        <v>0.642857142857143</v>
      </c>
      <c r="I8" s="2" t="n">
        <f aca="false">1-SUMPRODUCT(ABS(Ongebruikt!$AH$8:$AU$8-Gebruikt!$AH$7:$AU$7))/14</f>
        <v>0.571428571428571</v>
      </c>
      <c r="J8" s="2" t="n">
        <f aca="false">1-SUMPRODUCT(ABS(Ongebruikt!$AH$8:$AU$8-Gebruikt!$AH$8:$AU$8))/14</f>
        <v>0.678571428571429</v>
      </c>
      <c r="K8" s="2" t="n">
        <f aca="false">1-SUMPRODUCT(ABS(Ongebruikt!$AH$8:$AU$8-Gebruikt!$AH$9:$AU$9))/14</f>
        <v>0.614285714285714</v>
      </c>
      <c r="L8" s="2" t="n">
        <f aca="false">1-SUMPRODUCT(ABS(Ongebruikt!$AH$8:$AU$8-Gebruikt!$AH$10:$AU$10))/14</f>
        <v>0.614285714285714</v>
      </c>
      <c r="M8" s="2" t="n">
        <f aca="false">1-SUMPRODUCT(ABS(Ongebruikt!$AH$8:$AU$8-Gebruikt!$AH$11:$AU$11))/14</f>
        <v>0.614285714285714</v>
      </c>
      <c r="N8" s="2" t="n">
        <f aca="false">1-SUMPRODUCT(ABS(Ongebruikt!$AH$8:$AU$8-Gebruikt!$AH$12:$AU$12))/14</f>
        <v>0.578571428571429</v>
      </c>
      <c r="O8" s="2" t="n">
        <f aca="false">1-SUMPRODUCT(ABS(Ongebruikt!$AH$8:$AU$8-Gebruikt!$AH$13:$AU$13))/14</f>
        <v>0.7</v>
      </c>
      <c r="P8" s="2" t="n">
        <f aca="false">1-SUMPRODUCT(ABS(Ongebruikt!$AH$8:$AU$8-Gebruikt!$AH$14:$AU$14))/14</f>
        <v>0.542857142857143</v>
      </c>
      <c r="Q8" s="2" t="n">
        <f aca="false">1-SUMPRODUCT(ABS(Ongebruikt!$AH$8:$AU$8-Gebruikt!$AH$15:$AU$15))/14</f>
        <v>0.614285714285714</v>
      </c>
      <c r="R8" s="2" t="n">
        <f aca="false">1-SUMPRODUCT(ABS(Ongebruikt!$AH$8:$AU$8-Gebruikt!$AH$16:$AU$16))/14</f>
        <v>0.614285714285714</v>
      </c>
      <c r="S8" s="2" t="n">
        <f aca="false">1-SUMPRODUCT(ABS(Ongebruikt!$AH$8:$AU$8-Gebruikt!$AH$17:$AU$17))/14</f>
        <v>0.507142857142857</v>
      </c>
      <c r="T8" s="2" t="n">
        <f aca="false">1-SUMPRODUCT(ABS(Ongebruikt!$AH$8:$AU$8-Gebruikt!$AH$18:$AU$18))/14</f>
        <v>0.871428571428571</v>
      </c>
      <c r="U8" s="2" t="n">
        <f aca="false">1-SUMPRODUCT(ABS(Ongebruikt!$AH$8:$AU$8-Gebruikt!$AH$19:$AU$19))/14</f>
        <v>0.928571428571429</v>
      </c>
      <c r="V8" s="2" t="n">
        <f aca="false">1-SUMPRODUCT(ABS(Ongebruikt!$AH$8:$AU$8-Gebruikt!$AH$20:$AU$20))/14</f>
        <v>0.614285714285714</v>
      </c>
      <c r="W8" s="2" t="n">
        <f aca="false">1-SUMPRODUCT(ABS(Ongebruikt!$AH$8:$AU$8-Gebruikt!$AH$21:$AU$21))/14</f>
        <v>0.642857142857143</v>
      </c>
      <c r="X8" s="2" t="n">
        <f aca="false">1-SUMPRODUCT(ABS(Ongebruikt!$AH$8:$AU$8-Gebruikt!$AH$22:$AU$22))/14</f>
        <v>0.635714285714286</v>
      </c>
      <c r="Y8" s="2" t="n">
        <f aca="false">1-SUMPRODUCT(ABS(Ongebruikt!$AH$8:$AU$8-Gebruikt!$AH$23:$AU$23))/14</f>
        <v>0.678571428571429</v>
      </c>
      <c r="Z8" s="2" t="n">
        <f aca="false">1-SUMPRODUCT(ABS(Ongebruikt!$AH$8:$AU$8-Gebruikt!$AH$24:$AU$24))/14</f>
        <v>0.678571428571429</v>
      </c>
      <c r="AA8" s="2" t="n">
        <f aca="false">1-SUMPRODUCT(ABS(Ongebruikt!$AH$8:$AU$8-Gebruikt!$AH$25:$AU$25))/14</f>
        <v>0.842857142857143</v>
      </c>
      <c r="AB8" s="2" t="n">
        <f aca="false">1-SUMPRODUCT(ABS(Ongebruikt!$AH$8:$AU$8-Gebruikt!$AH$26:$AU$26))/14</f>
        <v>0.7</v>
      </c>
      <c r="AC8" s="2" t="n">
        <f aca="false">1-SUMPRODUCT(ABS(Ongebruikt!$AH$8:$AU$8-Gebruikt!$AH$27:$AU$27))/14</f>
        <v>0.771428571428571</v>
      </c>
      <c r="AD8" s="2" t="n">
        <f aca="false">1-SUMPRODUCT(ABS(Ongebruikt!$AH$8:$AU$8-Gebruikt!$AH$28:$AU$28))/14</f>
        <v>0.7</v>
      </c>
      <c r="AE8" s="2" t="n">
        <f aca="false">1-SUMPRODUCT(ABS(Ongebruikt!$AH$8:$AU$8-Gebruikt!$AH$29:$AU$29))/14</f>
        <v>0.535714285714286</v>
      </c>
      <c r="AF8" s="2" t="n">
        <f aca="false">1-SUMPRODUCT(ABS(Ongebruikt!$AH$8:$AU$8-Gebruikt!$AH$30:$AU$30))/14</f>
        <v>0.421428571428572</v>
      </c>
      <c r="AG8" s="2" t="n">
        <f aca="false">1-SUMPRODUCT(ABS(Ongebruikt!$AH$8:$AU$8-Gebruikt!$AH$31:$AU$31))/14</f>
        <v>0.942857142857143</v>
      </c>
      <c r="AH8" s="2" t="n">
        <f aca="false">1-SUMPRODUCT(ABS(Ongebruikt!$AH$8:$AU$8-Gebruikt!$AH$32:$AU$32))/14</f>
        <v>0.871428571428571</v>
      </c>
      <c r="AI8" s="2" t="n">
        <f aca="false">1-SUMPRODUCT(ABS(Ongebruikt!$AH$8:$AU$8-Gebruikt!$AH$33:$AU$33))/14</f>
        <v>0.535714285714286</v>
      </c>
      <c r="AJ8" s="2" t="n">
        <f aca="false">1-SUMPRODUCT(ABS(Ongebruikt!$AH$8:$AU$8-Gebruikt!$AH$34:$AU$34))/14</f>
        <v>0.642857142857143</v>
      </c>
      <c r="AK8" s="2" t="n">
        <f aca="false">1-SUMPRODUCT(ABS(Ongebruikt!$AH$8:$AU$8-Gebruikt!$AH$35:$AU$35))/14</f>
        <v>0.678571428571429</v>
      </c>
      <c r="AL8" s="2" t="n">
        <f aca="false">1-SUMPRODUCT(ABS(Ongebruikt!$AH$8:$AU$8-Gebruikt!$AH$36:$AU$36))/14</f>
        <v>0.942857142857143</v>
      </c>
      <c r="AM8" s="2" t="n">
        <f aca="false">1-SUMPRODUCT(ABS(Ongebruikt!$AH$8:$AU$8-Gebruikt!$AH$37:$AU$37))/14</f>
        <v>0.8</v>
      </c>
      <c r="AN8" s="2" t="n">
        <f aca="false">1-SUMPRODUCT(ABS(Ongebruikt!$AH$8:$AU$8-Gebruikt!$AH$38:$AU$38))/14</f>
        <v>0.535714285714286</v>
      </c>
      <c r="AO8" s="2" t="n">
        <f aca="false">1-SUMPRODUCT(ABS(Ongebruikt!$AH$8:$AU$8-Gebruikt!$AH$39:$AU$39))/14</f>
        <v>0.785714285714286</v>
      </c>
      <c r="AP8" s="2" t="n">
        <f aca="false">1-SUMPRODUCT(ABS(Ongebruikt!$AH$8:$AU$8-Gebruikt!$AH$40:$AU$40))/14</f>
        <v>0.614285714285714</v>
      </c>
      <c r="AQ8" s="2" t="n">
        <f aca="false">1-SUMPRODUCT(ABS(Ongebruikt!$AH$8:$AU$8-Gebruikt!$AH$41:$AU$41))/14</f>
        <v>0.492857142857143</v>
      </c>
      <c r="AR8" s="2" t="n">
        <f aca="false">1-SUMPRODUCT(ABS(Ongebruikt!$AH$8:$AU$8-Gebruikt!$AH$42:$AU$42))/14</f>
        <v>0.614285714285714</v>
      </c>
      <c r="AS8" s="2" t="n">
        <f aca="false">1-SUMPRODUCT(ABS(Ongebruikt!$AH$8:$AU$8-Gebruikt!$AH$43:$AU$43))/14</f>
        <v>0.507142857142857</v>
      </c>
      <c r="AT8" s="2" t="n">
        <f aca="false">1-SUMPRODUCT(ABS(Ongebruikt!$AH$8:$AU$8-Gebruikt!$AH$44:$AU$44))/14</f>
        <v>0.65</v>
      </c>
      <c r="AU8" s="2" t="n">
        <f aca="false">1-SUMPRODUCT(ABS(Ongebruikt!$AH$8:$AU$8-Gebruikt!$AH$45:$AU$45))/14</f>
        <v>0.507142857142857</v>
      </c>
      <c r="AV8" s="2" t="n">
        <f aca="false">1-SUMPRODUCT(ABS(Ongebruikt!$AH$8:$AU$8-Gebruikt!$AH$46:$AU$46))/14</f>
        <v>0.778571428571429</v>
      </c>
      <c r="AW8" s="2" t="n">
        <f aca="false">1-SUMPRODUCT(ABS(Ongebruikt!$AH$8:$AU$8-Gebruikt!$AH$47:$AU$47))/14</f>
        <v>0.614285714285714</v>
      </c>
      <c r="AX8" s="2" t="n">
        <f aca="false">1-SUMPRODUCT(ABS(Ongebruikt!$AH$8:$AU$8-Gebruikt!$AH$48:$AU$48))/14</f>
        <v>0.507142857142857</v>
      </c>
    </row>
    <row r="9" customFormat="false" ht="15" hidden="false" customHeight="false" outlineLevel="0" collapsed="false">
      <c r="A9" s="8" t="str">
        <f aca="false">Ongebruikt!A9</f>
        <v>U06</v>
      </c>
      <c r="B9" s="8" t="str">
        <f aca="false">Ongebruikt!B9</f>
        <v>Kaliski Montgomery inverse with comparisons</v>
      </c>
      <c r="C9" s="2" t="n">
        <f aca="false">1-D9</f>
        <v>0.0285714285714286</v>
      </c>
      <c r="D9" s="2" t="n">
        <f aca="false">MAX(F9:AX9)</f>
        <v>0.971428571428571</v>
      </c>
      <c r="E9" s="2" t="str">
        <f aca="false">INDEX(Gebruikt!$B$4:$B$48,MATCH(D9,F9:AX9,0))</f>
        <v>Multi-bit shift per GCD step (jump-GCD K=2 to 8-way barrel e&lt;=7)</v>
      </c>
      <c r="F9" s="2" t="n">
        <f aca="false">1-SUMPRODUCT(ABS(Ongebruikt!$AH$9:$AU$9-Gebruikt!$AH$4:$AU$4))/14</f>
        <v>0.9</v>
      </c>
      <c r="G9" s="2" t="n">
        <f aca="false">1-SUMPRODUCT(ABS(Ongebruikt!$AH$9:$AU$9-Gebruikt!$AH$5:$AU$5))/14</f>
        <v>0.671428571428572</v>
      </c>
      <c r="H9" s="2" t="n">
        <f aca="false">1-SUMPRODUCT(ABS(Ongebruikt!$AH$9:$AU$9-Gebruikt!$AH$6:$AU$6))/14</f>
        <v>0.671428571428572</v>
      </c>
      <c r="I9" s="2" t="n">
        <f aca="false">1-SUMPRODUCT(ABS(Ongebruikt!$AH$9:$AU$9-Gebruikt!$AH$7:$AU$7))/14</f>
        <v>0.6</v>
      </c>
      <c r="J9" s="2" t="n">
        <f aca="false">1-SUMPRODUCT(ABS(Ongebruikt!$AH$9:$AU$9-Gebruikt!$AH$8:$AU$8))/14</f>
        <v>0.707142857142857</v>
      </c>
      <c r="K9" s="2" t="n">
        <f aca="false">1-SUMPRODUCT(ABS(Ongebruikt!$AH$9:$AU$9-Gebruikt!$AH$9:$AU$9))/14</f>
        <v>0.642857142857143</v>
      </c>
      <c r="L9" s="2" t="n">
        <f aca="false">1-SUMPRODUCT(ABS(Ongebruikt!$AH$9:$AU$9-Gebruikt!$AH$10:$AU$10))/14</f>
        <v>0.642857142857143</v>
      </c>
      <c r="M9" s="2" t="n">
        <f aca="false">1-SUMPRODUCT(ABS(Ongebruikt!$AH$9:$AU$9-Gebruikt!$AH$11:$AU$11))/14</f>
        <v>0.642857142857143</v>
      </c>
      <c r="N9" s="2" t="n">
        <f aca="false">1-SUMPRODUCT(ABS(Ongebruikt!$AH$9:$AU$9-Gebruikt!$AH$12:$AU$12))/14</f>
        <v>0.607142857142857</v>
      </c>
      <c r="O9" s="2" t="n">
        <f aca="false">1-SUMPRODUCT(ABS(Ongebruikt!$AH$9:$AU$9-Gebruikt!$AH$13:$AU$13))/14</f>
        <v>0.757142857142857</v>
      </c>
      <c r="P9" s="2" t="n">
        <f aca="false">1-SUMPRODUCT(ABS(Ongebruikt!$AH$9:$AU$9-Gebruikt!$AH$14:$AU$14))/14</f>
        <v>0.571428571428571</v>
      </c>
      <c r="Q9" s="2" t="n">
        <f aca="false">1-SUMPRODUCT(ABS(Ongebruikt!$AH$9:$AU$9-Gebruikt!$AH$15:$AU$15))/14</f>
        <v>0.642857142857143</v>
      </c>
      <c r="R9" s="2" t="n">
        <f aca="false">1-SUMPRODUCT(ABS(Ongebruikt!$AH$9:$AU$9-Gebruikt!$AH$16:$AU$16))/14</f>
        <v>0.642857142857143</v>
      </c>
      <c r="S9" s="2" t="n">
        <f aca="false">1-SUMPRODUCT(ABS(Ongebruikt!$AH$9:$AU$9-Gebruikt!$AH$17:$AU$17))/14</f>
        <v>0.564285714285714</v>
      </c>
      <c r="T9" s="2" t="n">
        <f aca="false">1-SUMPRODUCT(ABS(Ongebruikt!$AH$9:$AU$9-Gebruikt!$AH$18:$AU$18))/14</f>
        <v>0.9</v>
      </c>
      <c r="U9" s="2" t="n">
        <f aca="false">1-SUMPRODUCT(ABS(Ongebruikt!$AH$9:$AU$9-Gebruikt!$AH$19:$AU$19))/14</f>
        <v>0.957142857142857</v>
      </c>
      <c r="V9" s="2" t="n">
        <f aca="false">1-SUMPRODUCT(ABS(Ongebruikt!$AH$9:$AU$9-Gebruikt!$AH$20:$AU$20))/14</f>
        <v>0.642857142857143</v>
      </c>
      <c r="W9" s="2" t="n">
        <f aca="false">1-SUMPRODUCT(ABS(Ongebruikt!$AH$9:$AU$9-Gebruikt!$AH$21:$AU$21))/14</f>
        <v>0.671428571428572</v>
      </c>
      <c r="X9" s="2" t="n">
        <f aca="false">1-SUMPRODUCT(ABS(Ongebruikt!$AH$9:$AU$9-Gebruikt!$AH$22:$AU$22))/14</f>
        <v>0.721428571428571</v>
      </c>
      <c r="Y9" s="2" t="n">
        <f aca="false">1-SUMPRODUCT(ABS(Ongebruikt!$AH$9:$AU$9-Gebruikt!$AH$23:$AU$23))/14</f>
        <v>0.707142857142857</v>
      </c>
      <c r="Z9" s="2" t="n">
        <f aca="false">1-SUMPRODUCT(ABS(Ongebruikt!$AH$9:$AU$9-Gebruikt!$AH$24:$AU$24))/14</f>
        <v>0.707142857142857</v>
      </c>
      <c r="AA9" s="2" t="n">
        <f aca="false">1-SUMPRODUCT(ABS(Ongebruikt!$AH$9:$AU$9-Gebruikt!$AH$25:$AU$25))/14</f>
        <v>0.928571428571429</v>
      </c>
      <c r="AB9" s="2" t="n">
        <f aca="false">1-SUMPRODUCT(ABS(Ongebruikt!$AH$9:$AU$9-Gebruikt!$AH$26:$AU$26))/14</f>
        <v>0.785714285714286</v>
      </c>
      <c r="AC9" s="2" t="n">
        <f aca="false">1-SUMPRODUCT(ABS(Ongebruikt!$AH$9:$AU$9-Gebruikt!$AH$27:$AU$27))/14</f>
        <v>0.828571428571429</v>
      </c>
      <c r="AD9" s="2" t="n">
        <f aca="false">1-SUMPRODUCT(ABS(Ongebruikt!$AH$9:$AU$9-Gebruikt!$AH$28:$AU$28))/14</f>
        <v>0.757142857142857</v>
      </c>
      <c r="AE9" s="2" t="n">
        <f aca="false">1-SUMPRODUCT(ABS(Ongebruikt!$AH$9:$AU$9-Gebruikt!$AH$29:$AU$29))/14</f>
        <v>0.564285714285714</v>
      </c>
      <c r="AF9" s="2" t="n">
        <f aca="false">1-SUMPRODUCT(ABS(Ongebruikt!$AH$9:$AU$9-Gebruikt!$AH$30:$AU$30))/14</f>
        <v>0.478571428571429</v>
      </c>
      <c r="AG9" s="2" t="n">
        <f aca="false">1-SUMPRODUCT(ABS(Ongebruikt!$AH$9:$AU$9-Gebruikt!$AH$31:$AU$31))/14</f>
        <v>0.971428571428571</v>
      </c>
      <c r="AH9" s="2" t="n">
        <f aca="false">1-SUMPRODUCT(ABS(Ongebruikt!$AH$9:$AU$9-Gebruikt!$AH$32:$AU$32))/14</f>
        <v>0.9</v>
      </c>
      <c r="AI9" s="2" t="n">
        <f aca="false">1-SUMPRODUCT(ABS(Ongebruikt!$AH$9:$AU$9-Gebruikt!$AH$33:$AU$33))/14</f>
        <v>0.564285714285714</v>
      </c>
      <c r="AJ9" s="2" t="n">
        <f aca="false">1-SUMPRODUCT(ABS(Ongebruikt!$AH$9:$AU$9-Gebruikt!$AH$34:$AU$34))/14</f>
        <v>0.671428571428572</v>
      </c>
      <c r="AK9" s="2" t="n">
        <f aca="false">1-SUMPRODUCT(ABS(Ongebruikt!$AH$9:$AU$9-Gebruikt!$AH$35:$AU$35))/14</f>
        <v>0.707142857142857</v>
      </c>
      <c r="AL9" s="2" t="n">
        <f aca="false">1-SUMPRODUCT(ABS(Ongebruikt!$AH$9:$AU$9-Gebruikt!$AH$36:$AU$36))/14</f>
        <v>0.971428571428571</v>
      </c>
      <c r="AM9" s="2" t="n">
        <f aca="false">1-SUMPRODUCT(ABS(Ongebruikt!$AH$9:$AU$9-Gebruikt!$AH$37:$AU$37))/14</f>
        <v>0.828571428571429</v>
      </c>
      <c r="AN9" s="2" t="n">
        <f aca="false">1-SUMPRODUCT(ABS(Ongebruikt!$AH$9:$AU$9-Gebruikt!$AH$38:$AU$38))/14</f>
        <v>0.564285714285714</v>
      </c>
      <c r="AO9" s="2" t="n">
        <f aca="false">1-SUMPRODUCT(ABS(Ongebruikt!$AH$9:$AU$9-Gebruikt!$AH$39:$AU$39))/14</f>
        <v>0.814285714285714</v>
      </c>
      <c r="AP9" s="2" t="n">
        <f aca="false">1-SUMPRODUCT(ABS(Ongebruikt!$AH$9:$AU$9-Gebruikt!$AH$40:$AU$40))/14</f>
        <v>0.642857142857143</v>
      </c>
      <c r="AQ9" s="2" t="n">
        <f aca="false">1-SUMPRODUCT(ABS(Ongebruikt!$AH$9:$AU$9-Gebruikt!$AH$41:$AU$41))/14</f>
        <v>0.55</v>
      </c>
      <c r="AR9" s="2" t="n">
        <f aca="false">1-SUMPRODUCT(ABS(Ongebruikt!$AH$9:$AU$9-Gebruikt!$AH$42:$AU$42))/14</f>
        <v>0.642857142857143</v>
      </c>
      <c r="AS9" s="2" t="n">
        <f aca="false">1-SUMPRODUCT(ABS(Ongebruikt!$AH$9:$AU$9-Gebruikt!$AH$43:$AU$43))/14</f>
        <v>0.564285714285714</v>
      </c>
      <c r="AT9" s="2" t="n">
        <f aca="false">1-SUMPRODUCT(ABS(Ongebruikt!$AH$9:$AU$9-Gebruikt!$AH$44:$AU$44))/14</f>
        <v>0.707142857142857</v>
      </c>
      <c r="AU9" s="2" t="n">
        <f aca="false">1-SUMPRODUCT(ABS(Ongebruikt!$AH$9:$AU$9-Gebruikt!$AH$45:$AU$45))/14</f>
        <v>0.564285714285714</v>
      </c>
      <c r="AV9" s="2" t="n">
        <f aca="false">1-SUMPRODUCT(ABS(Ongebruikt!$AH$9:$AU$9-Gebruikt!$AH$46:$AU$46))/14</f>
        <v>0.864285714285714</v>
      </c>
      <c r="AW9" s="2" t="n">
        <f aca="false">1-SUMPRODUCT(ABS(Ongebruikt!$AH$9:$AU$9-Gebruikt!$AH$47:$AU$47))/14</f>
        <v>0.642857142857143</v>
      </c>
      <c r="AX9" s="2" t="n">
        <f aca="false">1-SUMPRODUCT(ABS(Ongebruikt!$AH$9:$AU$9-Gebruikt!$AH$48:$AU$48))/14</f>
        <v>0.564285714285714</v>
      </c>
    </row>
    <row r="10" customFormat="false" ht="15" hidden="false" customHeight="false" outlineLevel="0" collapsed="false">
      <c r="A10" s="8" t="str">
        <f aca="false">Ongebruikt!A10</f>
        <v>U07</v>
      </c>
      <c r="B10" s="8" t="str">
        <f aca="false">Ongebruikt!B10</f>
        <v>Fermat inversion a^(p-2) via addition chain</v>
      </c>
      <c r="C10" s="2" t="n">
        <f aca="false">1-D10</f>
        <v>0.0428571428571428</v>
      </c>
      <c r="D10" s="2" t="n">
        <f aca="false">MAX(F10:AX10)</f>
        <v>0.957142857142857</v>
      </c>
      <c r="E10" s="2" t="str">
        <f aca="false">INDEX(Gebruikt!$B$4:$B$48,MATCH(D10,F10:AX10,0))</f>
        <v>Karatsuba squaring (recursive, in place)</v>
      </c>
      <c r="F10" s="2" t="n">
        <f aca="false">1-SUMPRODUCT(ABS(Ongebruikt!$AH$10:$AU$10-Gebruikt!$AH$4:$AU$4))/14</f>
        <v>0.785714285714286</v>
      </c>
      <c r="G10" s="2" t="n">
        <f aca="false">1-SUMPRODUCT(ABS(Ongebruikt!$AH$10:$AU$10-Gebruikt!$AH$5:$AU$5))/14</f>
        <v>0.7</v>
      </c>
      <c r="H10" s="2" t="n">
        <f aca="false">1-SUMPRODUCT(ABS(Ongebruikt!$AH$10:$AU$10-Gebruikt!$AH$6:$AU$6))/14</f>
        <v>0.7</v>
      </c>
      <c r="I10" s="2" t="n">
        <f aca="false">1-SUMPRODUCT(ABS(Ongebruikt!$AH$10:$AU$10-Gebruikt!$AH$7:$AU$7))/14</f>
        <v>0.628571428571429</v>
      </c>
      <c r="J10" s="2" t="n">
        <f aca="false">1-SUMPRODUCT(ABS(Ongebruikt!$AH$10:$AU$10-Gebruikt!$AH$8:$AU$8))/14</f>
        <v>0.735714285714286</v>
      </c>
      <c r="K10" s="2" t="n">
        <f aca="false">1-SUMPRODUCT(ABS(Ongebruikt!$AH$10:$AU$10-Gebruikt!$AH$9:$AU$9))/14</f>
        <v>0.557142857142857</v>
      </c>
      <c r="L10" s="2" t="n">
        <f aca="false">1-SUMPRODUCT(ABS(Ongebruikt!$AH$10:$AU$10-Gebruikt!$AH$10:$AU$10))/14</f>
        <v>0.557142857142857</v>
      </c>
      <c r="M10" s="2" t="n">
        <f aca="false">1-SUMPRODUCT(ABS(Ongebruikt!$AH$10:$AU$10-Gebruikt!$AH$11:$AU$11))/14</f>
        <v>0.557142857142857</v>
      </c>
      <c r="N10" s="2" t="n">
        <f aca="false">1-SUMPRODUCT(ABS(Ongebruikt!$AH$10:$AU$10-Gebruikt!$AH$12:$AU$12))/14</f>
        <v>0.521428571428571</v>
      </c>
      <c r="O10" s="2" t="n">
        <f aca="false">1-SUMPRODUCT(ABS(Ongebruikt!$AH$10:$AU$10-Gebruikt!$AH$13:$AU$13))/14</f>
        <v>0.785714285714286</v>
      </c>
      <c r="P10" s="2" t="n">
        <f aca="false">1-SUMPRODUCT(ABS(Ongebruikt!$AH$10:$AU$10-Gebruikt!$AH$14:$AU$14))/14</f>
        <v>0.628571428571429</v>
      </c>
      <c r="Q10" s="2" t="n">
        <f aca="false">1-SUMPRODUCT(ABS(Ongebruikt!$AH$10:$AU$10-Gebruikt!$AH$15:$AU$15))/14</f>
        <v>0.7</v>
      </c>
      <c r="R10" s="2" t="n">
        <f aca="false">1-SUMPRODUCT(ABS(Ongebruikt!$AH$10:$AU$10-Gebruikt!$AH$16:$AU$16))/14</f>
        <v>0.7</v>
      </c>
      <c r="S10" s="2" t="n">
        <f aca="false">1-SUMPRODUCT(ABS(Ongebruikt!$AH$10:$AU$10-Gebruikt!$AH$17:$AU$17))/14</f>
        <v>0.592857142857143</v>
      </c>
      <c r="T10" s="2" t="n">
        <f aca="false">1-SUMPRODUCT(ABS(Ongebruikt!$AH$10:$AU$10-Gebruikt!$AH$18:$AU$18))/14</f>
        <v>0.785714285714286</v>
      </c>
      <c r="U10" s="2" t="n">
        <f aca="false">1-SUMPRODUCT(ABS(Ongebruikt!$AH$10:$AU$10-Gebruikt!$AH$19:$AU$19))/14</f>
        <v>0.842857142857143</v>
      </c>
      <c r="V10" s="2" t="n">
        <f aca="false">1-SUMPRODUCT(ABS(Ongebruikt!$AH$10:$AU$10-Gebruikt!$AH$20:$AU$20))/14</f>
        <v>0.557142857142857</v>
      </c>
      <c r="W10" s="2" t="n">
        <f aca="false">1-SUMPRODUCT(ABS(Ongebruikt!$AH$10:$AU$10-Gebruikt!$AH$21:$AU$21))/14</f>
        <v>0.7</v>
      </c>
      <c r="X10" s="2" t="n">
        <f aca="false">1-SUMPRODUCT(ABS(Ongebruikt!$AH$10:$AU$10-Gebruikt!$AH$22:$AU$22))/14</f>
        <v>0.778571428571429</v>
      </c>
      <c r="Y10" s="2" t="n">
        <f aca="false">1-SUMPRODUCT(ABS(Ongebruikt!$AH$10:$AU$10-Gebruikt!$AH$23:$AU$23))/14</f>
        <v>0.735714285714286</v>
      </c>
      <c r="Z10" s="2" t="n">
        <f aca="false">1-SUMPRODUCT(ABS(Ongebruikt!$AH$10:$AU$10-Gebruikt!$AH$24:$AU$24))/14</f>
        <v>0.735714285714286</v>
      </c>
      <c r="AA10" s="2" t="n">
        <f aca="false">1-SUMPRODUCT(ABS(Ongebruikt!$AH$10:$AU$10-Gebruikt!$AH$25:$AU$25))/14</f>
        <v>0.957142857142857</v>
      </c>
      <c r="AB10" s="2" t="n">
        <f aca="false">1-SUMPRODUCT(ABS(Ongebruikt!$AH$10:$AU$10-Gebruikt!$AH$26:$AU$26))/14</f>
        <v>0.814285714285714</v>
      </c>
      <c r="AC10" s="2" t="n">
        <f aca="false">1-SUMPRODUCT(ABS(Ongebruikt!$AH$10:$AU$10-Gebruikt!$AH$27:$AU$27))/14</f>
        <v>0.857142857142857</v>
      </c>
      <c r="AD10" s="2" t="n">
        <f aca="false">1-SUMPRODUCT(ABS(Ongebruikt!$AH$10:$AU$10-Gebruikt!$AH$28:$AU$28))/14</f>
        <v>0.785714285714286</v>
      </c>
      <c r="AE10" s="2" t="n">
        <f aca="false">1-SUMPRODUCT(ABS(Ongebruikt!$AH$10:$AU$10-Gebruikt!$AH$29:$AU$29))/14</f>
        <v>0.592857142857143</v>
      </c>
      <c r="AF10" s="2" t="n">
        <f aca="false">1-SUMPRODUCT(ABS(Ongebruikt!$AH$10:$AU$10-Gebruikt!$AH$30:$AU$30))/14</f>
        <v>0.535714285714286</v>
      </c>
      <c r="AG10" s="2" t="n">
        <f aca="false">1-SUMPRODUCT(ABS(Ongebruikt!$AH$10:$AU$10-Gebruikt!$AH$31:$AU$31))/14</f>
        <v>0.857142857142857</v>
      </c>
      <c r="AH10" s="2" t="n">
        <f aca="false">1-SUMPRODUCT(ABS(Ongebruikt!$AH$10:$AU$10-Gebruikt!$AH$32:$AU$32))/14</f>
        <v>0.785714285714286</v>
      </c>
      <c r="AI10" s="2" t="n">
        <f aca="false">1-SUMPRODUCT(ABS(Ongebruikt!$AH$10:$AU$10-Gebruikt!$AH$33:$AU$33))/14</f>
        <v>0.592857142857143</v>
      </c>
      <c r="AJ10" s="2" t="n">
        <f aca="false">1-SUMPRODUCT(ABS(Ongebruikt!$AH$10:$AU$10-Gebruikt!$AH$34:$AU$34))/14</f>
        <v>0.7</v>
      </c>
      <c r="AK10" s="2" t="n">
        <f aca="false">1-SUMPRODUCT(ABS(Ongebruikt!$AH$10:$AU$10-Gebruikt!$AH$35:$AU$35))/14</f>
        <v>0.735714285714286</v>
      </c>
      <c r="AL10" s="2" t="n">
        <f aca="false">1-SUMPRODUCT(ABS(Ongebruikt!$AH$10:$AU$10-Gebruikt!$AH$36:$AU$36))/14</f>
        <v>0.857142857142857</v>
      </c>
      <c r="AM10" s="2" t="n">
        <f aca="false">1-SUMPRODUCT(ABS(Ongebruikt!$AH$10:$AU$10-Gebruikt!$AH$37:$AU$37))/14</f>
        <v>0.714285714285714</v>
      </c>
      <c r="AN10" s="2" t="n">
        <f aca="false">1-SUMPRODUCT(ABS(Ongebruikt!$AH$10:$AU$10-Gebruikt!$AH$38:$AU$38))/14</f>
        <v>0.592857142857143</v>
      </c>
      <c r="AO10" s="2" t="n">
        <f aca="false">1-SUMPRODUCT(ABS(Ongebruikt!$AH$10:$AU$10-Gebruikt!$AH$39:$AU$39))/14</f>
        <v>0.7</v>
      </c>
      <c r="AP10" s="2" t="n">
        <f aca="false">1-SUMPRODUCT(ABS(Ongebruikt!$AH$10:$AU$10-Gebruikt!$AH$40:$AU$40))/14</f>
        <v>0.557142857142857</v>
      </c>
      <c r="AQ10" s="2" t="n">
        <f aca="false">1-SUMPRODUCT(ABS(Ongebruikt!$AH$10:$AU$10-Gebruikt!$AH$41:$AU$41))/14</f>
        <v>0.607142857142857</v>
      </c>
      <c r="AR10" s="2" t="n">
        <f aca="false">1-SUMPRODUCT(ABS(Ongebruikt!$AH$10:$AU$10-Gebruikt!$AH$42:$AU$42))/14</f>
        <v>0.557142857142857</v>
      </c>
      <c r="AS10" s="2" t="n">
        <f aca="false">1-SUMPRODUCT(ABS(Ongebruikt!$AH$10:$AU$10-Gebruikt!$AH$43:$AU$43))/14</f>
        <v>0.592857142857143</v>
      </c>
      <c r="AT10" s="2" t="n">
        <f aca="false">1-SUMPRODUCT(ABS(Ongebruikt!$AH$10:$AU$10-Gebruikt!$AH$44:$AU$44))/14</f>
        <v>0.735714285714286</v>
      </c>
      <c r="AU10" s="2" t="n">
        <f aca="false">1-SUMPRODUCT(ABS(Ongebruikt!$AH$10:$AU$10-Gebruikt!$AH$45:$AU$45))/14</f>
        <v>0.592857142857143</v>
      </c>
      <c r="AV10" s="2" t="n">
        <f aca="false">1-SUMPRODUCT(ABS(Ongebruikt!$AH$10:$AU$10-Gebruikt!$AH$46:$AU$46))/14</f>
        <v>0.921428571428571</v>
      </c>
      <c r="AW10" s="2" t="n">
        <f aca="false">1-SUMPRODUCT(ABS(Ongebruikt!$AH$10:$AU$10-Gebruikt!$AH$47:$AU$47))/14</f>
        <v>0.557142857142857</v>
      </c>
      <c r="AX10" s="2" t="n">
        <f aca="false">1-SUMPRODUCT(ABS(Ongebruikt!$AH$10:$AU$10-Gebruikt!$AH$48:$AU$48))/14</f>
        <v>0.592857142857143</v>
      </c>
    </row>
    <row r="11" customFormat="false" ht="15" hidden="false" customHeight="false" outlineLevel="0" collapsed="false">
      <c r="A11" s="8" t="str">
        <f aca="false">Ongebruikt!A11</f>
        <v>U08</v>
      </c>
      <c r="B11" s="8" t="str">
        <f aca="false">Ongebruikt!B11</f>
        <v>Spooky pebbling (measurement-based pebble game)</v>
      </c>
      <c r="C11" s="2" t="n">
        <f aca="false">1-D11</f>
        <v>0.114285714285714</v>
      </c>
      <c r="D11" s="2" t="n">
        <f aca="false">MAX(F11:AX11)</f>
        <v>0.885714285714286</v>
      </c>
      <c r="E11" s="2" t="str">
        <f aca="false">INDEX(Gebruikt!$B$4:$B$48,MATCH(D11,F11:AX11,0))</f>
        <v>Conditional replay exploiting average-executed Toffoli</v>
      </c>
      <c r="F11" s="2" t="n">
        <f aca="false">1-SUMPRODUCT(ABS(Ongebruikt!$AH$11:$AU$11-Gebruikt!$AH$4:$AU$4))/14</f>
        <v>0.721428571428571</v>
      </c>
      <c r="G11" s="2" t="n">
        <f aca="false">1-SUMPRODUCT(ABS(Ongebruikt!$AH$11:$AU$11-Gebruikt!$AH$5:$AU$5))/14</f>
        <v>0.707142857142857</v>
      </c>
      <c r="H11" s="2" t="n">
        <f aca="false">1-SUMPRODUCT(ABS(Ongebruikt!$AH$11:$AU$11-Gebruikt!$AH$6:$AU$6))/14</f>
        <v>0.707142857142857</v>
      </c>
      <c r="I11" s="2" t="n">
        <f aca="false">1-SUMPRODUCT(ABS(Ongebruikt!$AH$11:$AU$11-Gebruikt!$AH$7:$AU$7))/14</f>
        <v>0.707142857142857</v>
      </c>
      <c r="J11" s="2" t="n">
        <f aca="false">1-SUMPRODUCT(ABS(Ongebruikt!$AH$11:$AU$11-Gebruikt!$AH$8:$AU$8))/14</f>
        <v>0.671428571428572</v>
      </c>
      <c r="K11" s="2" t="n">
        <f aca="false">1-SUMPRODUCT(ABS(Ongebruikt!$AH$11:$AU$11-Gebruikt!$AH$9:$AU$9))/14</f>
        <v>0.678571428571429</v>
      </c>
      <c r="L11" s="2" t="n">
        <f aca="false">1-SUMPRODUCT(ABS(Ongebruikt!$AH$11:$AU$11-Gebruikt!$AH$10:$AU$10))/14</f>
        <v>0.678571428571429</v>
      </c>
      <c r="M11" s="2" t="n">
        <f aca="false">1-SUMPRODUCT(ABS(Ongebruikt!$AH$11:$AU$11-Gebruikt!$AH$11:$AU$11))/14</f>
        <v>0.678571428571429</v>
      </c>
      <c r="N11" s="2" t="n">
        <f aca="false">1-SUMPRODUCT(ABS(Ongebruikt!$AH$11:$AU$11-Gebruikt!$AH$12:$AU$12))/14</f>
        <v>0.785714285714286</v>
      </c>
      <c r="O11" s="2" t="n">
        <f aca="false">1-SUMPRODUCT(ABS(Ongebruikt!$AH$11:$AU$11-Gebruikt!$AH$13:$AU$13))/14</f>
        <v>0.407142857142857</v>
      </c>
      <c r="P11" s="2" t="n">
        <f aca="false">1-SUMPRODUCT(ABS(Ongebruikt!$AH$11:$AU$11-Gebruikt!$AH$14:$AU$14))/14</f>
        <v>0.607142857142857</v>
      </c>
      <c r="Q11" s="2" t="n">
        <f aca="false">1-SUMPRODUCT(ABS(Ongebruikt!$AH$11:$AU$11-Gebruikt!$AH$15:$AU$15))/14</f>
        <v>0.678571428571429</v>
      </c>
      <c r="R11" s="2" t="n">
        <f aca="false">1-SUMPRODUCT(ABS(Ongebruikt!$AH$11:$AU$11-Gebruikt!$AH$16:$AU$16))/14</f>
        <v>0.678571428571429</v>
      </c>
      <c r="S11" s="2" t="n">
        <f aca="false">1-SUMPRODUCT(ABS(Ongebruikt!$AH$11:$AU$11-Gebruikt!$AH$17:$AU$17))/14</f>
        <v>0.857142857142857</v>
      </c>
      <c r="T11" s="2" t="n">
        <f aca="false">1-SUMPRODUCT(ABS(Ongebruikt!$AH$11:$AU$11-Gebruikt!$AH$18:$AU$18))/14</f>
        <v>0.721428571428571</v>
      </c>
      <c r="U11" s="2" t="n">
        <f aca="false">1-SUMPRODUCT(ABS(Ongebruikt!$AH$11:$AU$11-Gebruikt!$AH$19:$AU$19))/14</f>
        <v>0.635714285714286</v>
      </c>
      <c r="V11" s="2" t="n">
        <f aca="false">1-SUMPRODUCT(ABS(Ongebruikt!$AH$11:$AU$11-Gebruikt!$AH$20:$AU$20))/14</f>
        <v>0.678571428571429</v>
      </c>
      <c r="W11" s="2" t="n">
        <f aca="false">1-SUMPRODUCT(ABS(Ongebruikt!$AH$11:$AU$11-Gebruikt!$AH$21:$AU$21))/14</f>
        <v>0.707142857142857</v>
      </c>
      <c r="X11" s="2" t="n">
        <f aca="false">1-SUMPRODUCT(ABS(Ongebruikt!$AH$11:$AU$11-Gebruikt!$AH$22:$AU$22))/14</f>
        <v>0.557142857142857</v>
      </c>
      <c r="Y11" s="2" t="n">
        <f aca="false">1-SUMPRODUCT(ABS(Ongebruikt!$AH$11:$AU$11-Gebruikt!$AH$23:$AU$23))/14</f>
        <v>0.671428571428572</v>
      </c>
      <c r="Z11" s="2" t="n">
        <f aca="false">1-SUMPRODUCT(ABS(Ongebruikt!$AH$11:$AU$11-Gebruikt!$AH$24:$AU$24))/14</f>
        <v>0.671428571428572</v>
      </c>
      <c r="AA11" s="2" t="n">
        <f aca="false">1-SUMPRODUCT(ABS(Ongebruikt!$AH$11:$AU$11-Gebruikt!$AH$25:$AU$25))/14</f>
        <v>0.55</v>
      </c>
      <c r="AB11" s="2" t="n">
        <f aca="false">1-SUMPRODUCT(ABS(Ongebruikt!$AH$11:$AU$11-Gebruikt!$AH$26:$AU$26))/14</f>
        <v>0.55</v>
      </c>
      <c r="AC11" s="2" t="n">
        <f aca="false">1-SUMPRODUCT(ABS(Ongebruikt!$AH$11:$AU$11-Gebruikt!$AH$27:$AU$27))/14</f>
        <v>0.478571428571429</v>
      </c>
      <c r="AD11" s="2" t="n">
        <f aca="false">1-SUMPRODUCT(ABS(Ongebruikt!$AH$11:$AU$11-Gebruikt!$AH$28:$AU$28))/14</f>
        <v>0.407142857142857</v>
      </c>
      <c r="AE11" s="2" t="n">
        <f aca="false">1-SUMPRODUCT(ABS(Ongebruikt!$AH$11:$AU$11-Gebruikt!$AH$29:$AU$29))/14</f>
        <v>0.885714285714286</v>
      </c>
      <c r="AF11" s="2" t="n">
        <f aca="false">1-SUMPRODUCT(ABS(Ongebruikt!$AH$11:$AU$11-Gebruikt!$AH$30:$AU$30))/14</f>
        <v>0.771428571428571</v>
      </c>
      <c r="AG11" s="2" t="n">
        <f aca="false">1-SUMPRODUCT(ABS(Ongebruikt!$AH$11:$AU$11-Gebruikt!$AH$31:$AU$31))/14</f>
        <v>0.65</v>
      </c>
      <c r="AH11" s="2" t="n">
        <f aca="false">1-SUMPRODUCT(ABS(Ongebruikt!$AH$11:$AU$11-Gebruikt!$AH$32:$AU$32))/14</f>
        <v>0.721428571428571</v>
      </c>
      <c r="AI11" s="2" t="n">
        <f aca="false">1-SUMPRODUCT(ABS(Ongebruikt!$AH$11:$AU$11-Gebruikt!$AH$33:$AU$33))/14</f>
        <v>0.742857142857143</v>
      </c>
      <c r="AJ11" s="2" t="n">
        <f aca="false">1-SUMPRODUCT(ABS(Ongebruikt!$AH$11:$AU$11-Gebruikt!$AH$34:$AU$34))/14</f>
        <v>0.707142857142857</v>
      </c>
      <c r="AK11" s="2" t="n">
        <f aca="false">1-SUMPRODUCT(ABS(Ongebruikt!$AH$11:$AU$11-Gebruikt!$AH$35:$AU$35))/14</f>
        <v>0.671428571428572</v>
      </c>
      <c r="AL11" s="2" t="n">
        <f aca="false">1-SUMPRODUCT(ABS(Ongebruikt!$AH$11:$AU$11-Gebruikt!$AH$36:$AU$36))/14</f>
        <v>0.65</v>
      </c>
      <c r="AM11" s="2" t="n">
        <f aca="false">1-SUMPRODUCT(ABS(Ongebruikt!$AH$11:$AU$11-Gebruikt!$AH$37:$AU$37))/14</f>
        <v>0.65</v>
      </c>
      <c r="AN11" s="2" t="n">
        <f aca="false">1-SUMPRODUCT(ABS(Ongebruikt!$AH$11:$AU$11-Gebruikt!$AH$38:$AU$38))/14</f>
        <v>0.885714285714286</v>
      </c>
      <c r="AO11" s="2" t="n">
        <f aca="false">1-SUMPRODUCT(ABS(Ongebruikt!$AH$11:$AU$11-Gebruikt!$AH$39:$AU$39))/14</f>
        <v>0.635714285714286</v>
      </c>
      <c r="AP11" s="2" t="n">
        <f aca="false">1-SUMPRODUCT(ABS(Ongebruikt!$AH$11:$AU$11-Gebruikt!$AH$40:$AU$40))/14</f>
        <v>0.678571428571429</v>
      </c>
      <c r="AQ11" s="2" t="n">
        <f aca="false">1-SUMPRODUCT(ABS(Ongebruikt!$AH$11:$AU$11-Gebruikt!$AH$41:$AU$41))/14</f>
        <v>0.7</v>
      </c>
      <c r="AR11" s="2" t="n">
        <f aca="false">1-SUMPRODUCT(ABS(Ongebruikt!$AH$11:$AU$11-Gebruikt!$AH$42:$AU$42))/14</f>
        <v>0.678571428571429</v>
      </c>
      <c r="AS11" s="2" t="n">
        <f aca="false">1-SUMPRODUCT(ABS(Ongebruikt!$AH$11:$AU$11-Gebruikt!$AH$43:$AU$43))/14</f>
        <v>0.714285714285714</v>
      </c>
      <c r="AT11" s="2" t="n">
        <f aca="false">1-SUMPRODUCT(ABS(Ongebruikt!$AH$11:$AU$11-Gebruikt!$AH$44:$AU$44))/14</f>
        <v>0.714285714285714</v>
      </c>
      <c r="AU11" s="2" t="n">
        <f aca="false">1-SUMPRODUCT(ABS(Ongebruikt!$AH$11:$AU$11-Gebruikt!$AH$45:$AU$45))/14</f>
        <v>0.714285714285714</v>
      </c>
      <c r="AV11" s="2" t="n">
        <f aca="false">1-SUMPRODUCT(ABS(Ongebruikt!$AH$11:$AU$11-Gebruikt!$AH$46:$AU$46))/14</f>
        <v>0.557142857142857</v>
      </c>
      <c r="AW11" s="2" t="n">
        <f aca="false">1-SUMPRODUCT(ABS(Ongebruikt!$AH$11:$AU$11-Gebruikt!$AH$47:$AU$47))/14</f>
        <v>0.678571428571429</v>
      </c>
      <c r="AX11" s="2" t="n">
        <f aca="false">1-SUMPRODUCT(ABS(Ongebruikt!$AH$11:$AU$11-Gebruikt!$AH$48:$AU$48))/14</f>
        <v>0.857142857142857</v>
      </c>
    </row>
    <row r="12" customFormat="false" ht="15" hidden="false" customHeight="false" outlineLevel="0" collapsed="false">
      <c r="A12" s="8" t="str">
        <f aca="false">Ongebruikt!A12</f>
        <v>U09</v>
      </c>
      <c r="B12" s="8" t="str">
        <f aca="false">Ongebruikt!B12</f>
        <v>Knill optimal reversible pebbling</v>
      </c>
      <c r="C12" s="2" t="n">
        <f aca="false">1-D12</f>
        <v>0.178571428571429</v>
      </c>
      <c r="D12" s="2" t="n">
        <f aca="false">MAX(F12:AX12)</f>
        <v>0.821428571428571</v>
      </c>
      <c r="E12" s="2" t="str">
        <f aca="false">INDEX(Gebruikt!$B$4:$B$48,MATCH(D12,F12:AX12,0))</f>
        <v>Exact AND cache in idle wires</v>
      </c>
      <c r="F12" s="2" t="n">
        <f aca="false">1-SUMPRODUCT(ABS(Ongebruikt!$AH$12:$AU$12-Gebruikt!$AH$4:$AU$4))/14</f>
        <v>0.728571428571429</v>
      </c>
      <c r="G12" s="2" t="n">
        <f aca="false">1-SUMPRODUCT(ABS(Ongebruikt!$AH$12:$AU$12-Gebruikt!$AH$5:$AU$5))/14</f>
        <v>0.785714285714286</v>
      </c>
      <c r="H12" s="2" t="n">
        <f aca="false">1-SUMPRODUCT(ABS(Ongebruikt!$AH$12:$AU$12-Gebruikt!$AH$6:$AU$6))/14</f>
        <v>0.785714285714286</v>
      </c>
      <c r="I12" s="2" t="n">
        <f aca="false">1-SUMPRODUCT(ABS(Ongebruikt!$AH$12:$AU$12-Gebruikt!$AH$7:$AU$7))/14</f>
        <v>0.642857142857143</v>
      </c>
      <c r="J12" s="2" t="n">
        <f aca="false">1-SUMPRODUCT(ABS(Ongebruikt!$AH$12:$AU$12-Gebruikt!$AH$8:$AU$8))/14</f>
        <v>0.75</v>
      </c>
      <c r="K12" s="2" t="n">
        <f aca="false">1-SUMPRODUCT(ABS(Ongebruikt!$AH$12:$AU$12-Gebruikt!$AH$9:$AU$9))/14</f>
        <v>0.785714285714286</v>
      </c>
      <c r="L12" s="2" t="n">
        <f aca="false">1-SUMPRODUCT(ABS(Ongebruikt!$AH$12:$AU$12-Gebruikt!$AH$10:$AU$10))/14</f>
        <v>0.785714285714286</v>
      </c>
      <c r="M12" s="2" t="n">
        <f aca="false">1-SUMPRODUCT(ABS(Ongebruikt!$AH$12:$AU$12-Gebruikt!$AH$11:$AU$11))/14</f>
        <v>0.785714285714286</v>
      </c>
      <c r="N12" s="2" t="n">
        <f aca="false">1-SUMPRODUCT(ABS(Ongebruikt!$AH$12:$AU$12-Gebruikt!$AH$12:$AU$12))/14</f>
        <v>0.75</v>
      </c>
      <c r="O12" s="2" t="n">
        <f aca="false">1-SUMPRODUCT(ABS(Ongebruikt!$AH$12:$AU$12-Gebruikt!$AH$13:$AU$13))/14</f>
        <v>0.585714285714286</v>
      </c>
      <c r="P12" s="2" t="n">
        <f aca="false">1-SUMPRODUCT(ABS(Ongebruikt!$AH$12:$AU$12-Gebruikt!$AH$14:$AU$14))/14</f>
        <v>0.714285714285714</v>
      </c>
      <c r="Q12" s="2" t="n">
        <f aca="false">1-SUMPRODUCT(ABS(Ongebruikt!$AH$12:$AU$12-Gebruikt!$AH$15:$AU$15))/14</f>
        <v>0.785714285714286</v>
      </c>
      <c r="R12" s="2" t="n">
        <f aca="false">1-SUMPRODUCT(ABS(Ongebruikt!$AH$12:$AU$12-Gebruikt!$AH$16:$AU$16))/14</f>
        <v>0.785714285714286</v>
      </c>
      <c r="S12" s="2" t="n">
        <f aca="false">1-SUMPRODUCT(ABS(Ongebruikt!$AH$12:$AU$12-Gebruikt!$AH$17:$AU$17))/14</f>
        <v>0.678571428571429</v>
      </c>
      <c r="T12" s="2" t="n">
        <f aca="false">1-SUMPRODUCT(ABS(Ongebruikt!$AH$12:$AU$12-Gebruikt!$AH$18:$AU$18))/14</f>
        <v>0.728571428571429</v>
      </c>
      <c r="U12" s="2" t="n">
        <f aca="false">1-SUMPRODUCT(ABS(Ongebruikt!$AH$12:$AU$12-Gebruikt!$AH$19:$AU$19))/14</f>
        <v>0.785714285714286</v>
      </c>
      <c r="V12" s="2" t="n">
        <f aca="false">1-SUMPRODUCT(ABS(Ongebruikt!$AH$12:$AU$12-Gebruikt!$AH$20:$AU$20))/14</f>
        <v>0.785714285714286</v>
      </c>
      <c r="W12" s="2" t="n">
        <f aca="false">1-SUMPRODUCT(ABS(Ongebruikt!$AH$12:$AU$12-Gebruikt!$AH$21:$AU$21))/14</f>
        <v>0.785714285714286</v>
      </c>
      <c r="X12" s="2" t="n">
        <f aca="false">1-SUMPRODUCT(ABS(Ongebruikt!$AH$12:$AU$12-Gebruikt!$AH$22:$AU$22))/14</f>
        <v>0.578571428571429</v>
      </c>
      <c r="Y12" s="2" t="n">
        <f aca="false">1-SUMPRODUCT(ABS(Ongebruikt!$AH$12:$AU$12-Gebruikt!$AH$23:$AU$23))/14</f>
        <v>0.75</v>
      </c>
      <c r="Z12" s="2" t="n">
        <f aca="false">1-SUMPRODUCT(ABS(Ongebruikt!$AH$12:$AU$12-Gebruikt!$AH$24:$AU$24))/14</f>
        <v>0.75</v>
      </c>
      <c r="AA12" s="2" t="n">
        <f aca="false">1-SUMPRODUCT(ABS(Ongebruikt!$AH$12:$AU$12-Gebruikt!$AH$25:$AU$25))/14</f>
        <v>0.757142857142857</v>
      </c>
      <c r="AB12" s="2" t="n">
        <f aca="false">1-SUMPRODUCT(ABS(Ongebruikt!$AH$12:$AU$12-Gebruikt!$AH$26:$AU$26))/14</f>
        <v>0.614285714285714</v>
      </c>
      <c r="AC12" s="2" t="n">
        <f aca="false">1-SUMPRODUCT(ABS(Ongebruikt!$AH$12:$AU$12-Gebruikt!$AH$27:$AU$27))/14</f>
        <v>0.657142857142857</v>
      </c>
      <c r="AD12" s="2" t="n">
        <f aca="false">1-SUMPRODUCT(ABS(Ongebruikt!$AH$12:$AU$12-Gebruikt!$AH$28:$AU$28))/14</f>
        <v>0.585714285714286</v>
      </c>
      <c r="AE12" s="2" t="n">
        <f aca="false">1-SUMPRODUCT(ABS(Ongebruikt!$AH$12:$AU$12-Gebruikt!$AH$29:$AU$29))/14</f>
        <v>0.678571428571429</v>
      </c>
      <c r="AF12" s="2" t="n">
        <f aca="false">1-SUMPRODUCT(ABS(Ongebruikt!$AH$12:$AU$12-Gebruikt!$AH$30:$AU$30))/14</f>
        <v>0.621428571428571</v>
      </c>
      <c r="AG12" s="2" t="n">
        <f aca="false">1-SUMPRODUCT(ABS(Ongebruikt!$AH$12:$AU$12-Gebruikt!$AH$31:$AU$31))/14</f>
        <v>0.8</v>
      </c>
      <c r="AH12" s="2" t="n">
        <f aca="false">1-SUMPRODUCT(ABS(Ongebruikt!$AH$12:$AU$12-Gebruikt!$AH$32:$AU$32))/14</f>
        <v>0.728571428571429</v>
      </c>
      <c r="AI12" s="2" t="n">
        <f aca="false">1-SUMPRODUCT(ABS(Ongebruikt!$AH$12:$AU$12-Gebruikt!$AH$33:$AU$33))/14</f>
        <v>0.678571428571429</v>
      </c>
      <c r="AJ12" s="2" t="n">
        <f aca="false">1-SUMPRODUCT(ABS(Ongebruikt!$AH$12:$AU$12-Gebruikt!$AH$34:$AU$34))/14</f>
        <v>0.785714285714286</v>
      </c>
      <c r="AK12" s="2" t="n">
        <f aca="false">1-SUMPRODUCT(ABS(Ongebruikt!$AH$12:$AU$12-Gebruikt!$AH$35:$AU$35))/14</f>
        <v>0.75</v>
      </c>
      <c r="AL12" s="2" t="n">
        <f aca="false">1-SUMPRODUCT(ABS(Ongebruikt!$AH$12:$AU$12-Gebruikt!$AH$36:$AU$36))/14</f>
        <v>0.8</v>
      </c>
      <c r="AM12" s="2" t="n">
        <f aca="false">1-SUMPRODUCT(ABS(Ongebruikt!$AH$12:$AU$12-Gebruikt!$AH$37:$AU$37))/14</f>
        <v>0.657142857142857</v>
      </c>
      <c r="AN12" s="2" t="n">
        <f aca="false">1-SUMPRODUCT(ABS(Ongebruikt!$AH$12:$AU$12-Gebruikt!$AH$38:$AU$38))/14</f>
        <v>0.678571428571429</v>
      </c>
      <c r="AO12" s="2" t="n">
        <f aca="false">1-SUMPRODUCT(ABS(Ongebruikt!$AH$12:$AU$12-Gebruikt!$AH$39:$AU$39))/14</f>
        <v>0.642857142857143</v>
      </c>
      <c r="AP12" s="2" t="n">
        <f aca="false">1-SUMPRODUCT(ABS(Ongebruikt!$AH$12:$AU$12-Gebruikt!$AH$40:$AU$40))/14</f>
        <v>0.785714285714286</v>
      </c>
      <c r="AQ12" s="2" t="n">
        <f aca="false">1-SUMPRODUCT(ABS(Ongebruikt!$AH$12:$AU$12-Gebruikt!$AH$41:$AU$41))/14</f>
        <v>0.692857142857143</v>
      </c>
      <c r="AR12" s="2" t="n">
        <f aca="false">1-SUMPRODUCT(ABS(Ongebruikt!$AH$12:$AU$12-Gebruikt!$AH$42:$AU$42))/14</f>
        <v>0.785714285714286</v>
      </c>
      <c r="AS12" s="2" t="n">
        <f aca="false">1-SUMPRODUCT(ABS(Ongebruikt!$AH$12:$AU$12-Gebruikt!$AH$43:$AU$43))/14</f>
        <v>0.678571428571429</v>
      </c>
      <c r="AT12" s="2" t="n">
        <f aca="false">1-SUMPRODUCT(ABS(Ongebruikt!$AH$12:$AU$12-Gebruikt!$AH$44:$AU$44))/14</f>
        <v>0.821428571428571</v>
      </c>
      <c r="AU12" s="2" t="n">
        <f aca="false">1-SUMPRODUCT(ABS(Ongebruikt!$AH$12:$AU$12-Gebruikt!$AH$45:$AU$45))/14</f>
        <v>0.678571428571429</v>
      </c>
      <c r="AV12" s="2" t="n">
        <f aca="false">1-SUMPRODUCT(ABS(Ongebruikt!$AH$12:$AU$12-Gebruikt!$AH$46:$AU$46))/14</f>
        <v>0.721428571428571</v>
      </c>
      <c r="AW12" s="2" t="n">
        <f aca="false">1-SUMPRODUCT(ABS(Ongebruikt!$AH$12:$AU$12-Gebruikt!$AH$47:$AU$47))/14</f>
        <v>0.785714285714286</v>
      </c>
      <c r="AX12" s="2" t="n">
        <f aca="false">1-SUMPRODUCT(ABS(Ongebruikt!$AH$12:$AU$12-Gebruikt!$AH$48:$AU$48))/14</f>
        <v>0.678571428571429</v>
      </c>
    </row>
    <row r="13" customFormat="false" ht="15" hidden="false" customHeight="false" outlineLevel="0" collapsed="false">
      <c r="A13" s="8" t="str">
        <f aca="false">Ongebruikt!A13</f>
        <v>U10</v>
      </c>
      <c r="B13" s="8" t="str">
        <f aca="false">Ongebruikt!B13</f>
        <v>SAT-based reversible pebbling (Meuli et al.)</v>
      </c>
      <c r="C13" s="2" t="n">
        <f aca="false">1-D13</f>
        <v>0.164285714285714</v>
      </c>
      <c r="D13" s="2" t="n">
        <f aca="false">MAX(F13:AX13)</f>
        <v>0.835714285714286</v>
      </c>
      <c r="E13" s="2" t="str">
        <f aca="false">INDEX(Gebruikt!$B$4:$B$48,MATCH(D13,F13:AX13,0))</f>
        <v>Exact AND cache in idle wires</v>
      </c>
      <c r="F13" s="2" t="n">
        <f aca="false">1-SUMPRODUCT(ABS(Ongebruikt!$AH$13:$AU$13-Gebruikt!$AH$4:$AU$4))/14</f>
        <v>0.742857142857143</v>
      </c>
      <c r="G13" s="2" t="n">
        <f aca="false">1-SUMPRODUCT(ABS(Ongebruikt!$AH$13:$AU$13-Gebruikt!$AH$5:$AU$5))/14</f>
        <v>0.828571428571429</v>
      </c>
      <c r="H13" s="2" t="n">
        <f aca="false">1-SUMPRODUCT(ABS(Ongebruikt!$AH$13:$AU$13-Gebruikt!$AH$6:$AU$6))/14</f>
        <v>0.828571428571429</v>
      </c>
      <c r="I13" s="2" t="n">
        <f aca="false">1-SUMPRODUCT(ABS(Ongebruikt!$AH$13:$AU$13-Gebruikt!$AH$7:$AU$7))/14</f>
        <v>0.685714285714286</v>
      </c>
      <c r="J13" s="2" t="n">
        <f aca="false">1-SUMPRODUCT(ABS(Ongebruikt!$AH$13:$AU$13-Gebruikt!$AH$8:$AU$8))/14</f>
        <v>0.792857142857143</v>
      </c>
      <c r="K13" s="2" t="n">
        <f aca="false">1-SUMPRODUCT(ABS(Ongebruikt!$AH$13:$AU$13-Gebruikt!$AH$9:$AU$9))/14</f>
        <v>0.8</v>
      </c>
      <c r="L13" s="2" t="n">
        <f aca="false">1-SUMPRODUCT(ABS(Ongebruikt!$AH$13:$AU$13-Gebruikt!$AH$10:$AU$10))/14</f>
        <v>0.8</v>
      </c>
      <c r="M13" s="2" t="n">
        <f aca="false">1-SUMPRODUCT(ABS(Ongebruikt!$AH$13:$AU$13-Gebruikt!$AH$11:$AU$11))/14</f>
        <v>0.8</v>
      </c>
      <c r="N13" s="2" t="n">
        <f aca="false">1-SUMPRODUCT(ABS(Ongebruikt!$AH$13:$AU$13-Gebruikt!$AH$12:$AU$12))/14</f>
        <v>0.764285714285714</v>
      </c>
      <c r="O13" s="2" t="n">
        <f aca="false">1-SUMPRODUCT(ABS(Ongebruikt!$AH$13:$AU$13-Gebruikt!$AH$13:$AU$13))/14</f>
        <v>0.6</v>
      </c>
      <c r="P13" s="2" t="n">
        <f aca="false">1-SUMPRODUCT(ABS(Ongebruikt!$AH$13:$AU$13-Gebruikt!$AH$14:$AU$14))/14</f>
        <v>0.728571428571429</v>
      </c>
      <c r="Q13" s="2" t="n">
        <f aca="false">1-SUMPRODUCT(ABS(Ongebruikt!$AH$13:$AU$13-Gebruikt!$AH$15:$AU$15))/14</f>
        <v>0.8</v>
      </c>
      <c r="R13" s="2" t="n">
        <f aca="false">1-SUMPRODUCT(ABS(Ongebruikt!$AH$13:$AU$13-Gebruikt!$AH$16:$AU$16))/14</f>
        <v>0.8</v>
      </c>
      <c r="S13" s="2" t="n">
        <f aca="false">1-SUMPRODUCT(ABS(Ongebruikt!$AH$13:$AU$13-Gebruikt!$AH$17:$AU$17))/14</f>
        <v>0.692857142857143</v>
      </c>
      <c r="T13" s="2" t="n">
        <f aca="false">1-SUMPRODUCT(ABS(Ongebruikt!$AH$13:$AU$13-Gebruikt!$AH$18:$AU$18))/14</f>
        <v>0.742857142857143</v>
      </c>
      <c r="U13" s="2" t="n">
        <f aca="false">1-SUMPRODUCT(ABS(Ongebruikt!$AH$13:$AU$13-Gebruikt!$AH$19:$AU$19))/14</f>
        <v>0.828571428571429</v>
      </c>
      <c r="V13" s="2" t="n">
        <f aca="false">1-SUMPRODUCT(ABS(Ongebruikt!$AH$13:$AU$13-Gebruikt!$AH$20:$AU$20))/14</f>
        <v>0.8</v>
      </c>
      <c r="W13" s="2" t="n">
        <f aca="false">1-SUMPRODUCT(ABS(Ongebruikt!$AH$13:$AU$13-Gebruikt!$AH$21:$AU$21))/14</f>
        <v>0.828571428571429</v>
      </c>
      <c r="X13" s="2" t="n">
        <f aca="false">1-SUMPRODUCT(ABS(Ongebruikt!$AH$13:$AU$13-Gebruikt!$AH$22:$AU$22))/14</f>
        <v>0.535714285714286</v>
      </c>
      <c r="Y13" s="2" t="n">
        <f aca="false">1-SUMPRODUCT(ABS(Ongebruikt!$AH$13:$AU$13-Gebruikt!$AH$23:$AU$23))/14</f>
        <v>0.792857142857143</v>
      </c>
      <c r="Z13" s="2" t="n">
        <f aca="false">1-SUMPRODUCT(ABS(Ongebruikt!$AH$13:$AU$13-Gebruikt!$AH$24:$AU$24))/14</f>
        <v>0.792857142857143</v>
      </c>
      <c r="AA13" s="2" t="n">
        <f aca="false">1-SUMPRODUCT(ABS(Ongebruikt!$AH$13:$AU$13-Gebruikt!$AH$25:$AU$25))/14</f>
        <v>0.742857142857143</v>
      </c>
      <c r="AB13" s="2" t="n">
        <f aca="false">1-SUMPRODUCT(ABS(Ongebruikt!$AH$13:$AU$13-Gebruikt!$AH$26:$AU$26))/14</f>
        <v>0.6</v>
      </c>
      <c r="AC13" s="2" t="n">
        <f aca="false">1-SUMPRODUCT(ABS(Ongebruikt!$AH$13:$AU$13-Gebruikt!$AH$27:$AU$27))/14</f>
        <v>0.671428571428572</v>
      </c>
      <c r="AD13" s="2" t="n">
        <f aca="false">1-SUMPRODUCT(ABS(Ongebruikt!$AH$13:$AU$13-Gebruikt!$AH$28:$AU$28))/14</f>
        <v>0.6</v>
      </c>
      <c r="AE13" s="2" t="n">
        <f aca="false">1-SUMPRODUCT(ABS(Ongebruikt!$AH$13:$AU$13-Gebruikt!$AH$29:$AU$29))/14</f>
        <v>0.721428571428571</v>
      </c>
      <c r="AF13" s="2" t="n">
        <f aca="false">1-SUMPRODUCT(ABS(Ongebruikt!$AH$13:$AU$13-Gebruikt!$AH$30:$AU$30))/14</f>
        <v>0.607142857142857</v>
      </c>
      <c r="AG13" s="2" t="n">
        <f aca="false">1-SUMPRODUCT(ABS(Ongebruikt!$AH$13:$AU$13-Gebruikt!$AH$31:$AU$31))/14</f>
        <v>0.814285714285714</v>
      </c>
      <c r="AH13" s="2" t="n">
        <f aca="false">1-SUMPRODUCT(ABS(Ongebruikt!$AH$13:$AU$13-Gebruikt!$AH$32:$AU$32))/14</f>
        <v>0.742857142857143</v>
      </c>
      <c r="AI13" s="2" t="n">
        <f aca="false">1-SUMPRODUCT(ABS(Ongebruikt!$AH$13:$AU$13-Gebruikt!$AH$33:$AU$33))/14</f>
        <v>0.721428571428571</v>
      </c>
      <c r="AJ13" s="2" t="n">
        <f aca="false">1-SUMPRODUCT(ABS(Ongebruikt!$AH$13:$AU$13-Gebruikt!$AH$34:$AU$34))/14</f>
        <v>0.828571428571429</v>
      </c>
      <c r="AK13" s="2" t="n">
        <f aca="false">1-SUMPRODUCT(ABS(Ongebruikt!$AH$13:$AU$13-Gebruikt!$AH$35:$AU$35))/14</f>
        <v>0.792857142857143</v>
      </c>
      <c r="AL13" s="2" t="n">
        <f aca="false">1-SUMPRODUCT(ABS(Ongebruikt!$AH$13:$AU$13-Gebruikt!$AH$36:$AU$36))/14</f>
        <v>0.814285714285714</v>
      </c>
      <c r="AM13" s="2" t="n">
        <f aca="false">1-SUMPRODUCT(ABS(Ongebruikt!$AH$13:$AU$13-Gebruikt!$AH$37:$AU$37))/14</f>
        <v>0.671428571428571</v>
      </c>
      <c r="AN13" s="2" t="n">
        <f aca="false">1-SUMPRODUCT(ABS(Ongebruikt!$AH$13:$AU$13-Gebruikt!$AH$38:$AU$38))/14</f>
        <v>0.721428571428571</v>
      </c>
      <c r="AO13" s="2" t="n">
        <f aca="false">1-SUMPRODUCT(ABS(Ongebruikt!$AH$13:$AU$13-Gebruikt!$AH$39:$AU$39))/14</f>
        <v>0.685714285714286</v>
      </c>
      <c r="AP13" s="2" t="n">
        <f aca="false">1-SUMPRODUCT(ABS(Ongebruikt!$AH$13:$AU$13-Gebruikt!$AH$40:$AU$40))/14</f>
        <v>0.8</v>
      </c>
      <c r="AQ13" s="2" t="n">
        <f aca="false">1-SUMPRODUCT(ABS(Ongebruikt!$AH$13:$AU$13-Gebruikt!$AH$41:$AU$41))/14</f>
        <v>0.678571428571429</v>
      </c>
      <c r="AR13" s="2" t="n">
        <f aca="false">1-SUMPRODUCT(ABS(Ongebruikt!$AH$13:$AU$13-Gebruikt!$AH$42:$AU$42))/14</f>
        <v>0.8</v>
      </c>
      <c r="AS13" s="2" t="n">
        <f aca="false">1-SUMPRODUCT(ABS(Ongebruikt!$AH$13:$AU$13-Gebruikt!$AH$43:$AU$43))/14</f>
        <v>0.692857142857143</v>
      </c>
      <c r="AT13" s="2" t="n">
        <f aca="false">1-SUMPRODUCT(ABS(Ongebruikt!$AH$13:$AU$13-Gebruikt!$AH$44:$AU$44))/14</f>
        <v>0.835714285714286</v>
      </c>
      <c r="AU13" s="2" t="n">
        <f aca="false">1-SUMPRODUCT(ABS(Ongebruikt!$AH$13:$AU$13-Gebruikt!$AH$45:$AU$45))/14</f>
        <v>0.692857142857143</v>
      </c>
      <c r="AV13" s="2" t="n">
        <f aca="false">1-SUMPRODUCT(ABS(Ongebruikt!$AH$13:$AU$13-Gebruikt!$AH$46:$AU$46))/14</f>
        <v>0.678571428571429</v>
      </c>
      <c r="AW13" s="2" t="n">
        <f aca="false">1-SUMPRODUCT(ABS(Ongebruikt!$AH$13:$AU$13-Gebruikt!$AH$47:$AU$47))/14</f>
        <v>0.8</v>
      </c>
      <c r="AX13" s="2" t="n">
        <f aca="false">1-SUMPRODUCT(ABS(Ongebruikt!$AH$13:$AU$13-Gebruikt!$AH$48:$AU$48))/14</f>
        <v>0.692857142857143</v>
      </c>
    </row>
    <row r="14" customFormat="false" ht="15" hidden="false" customHeight="false" outlineLevel="0" collapsed="false">
      <c r="A14" s="8" t="str">
        <f aca="false">Ongebruikt!A14</f>
        <v>U11</v>
      </c>
      <c r="B14" s="8" t="str">
        <f aca="false">Ongebruikt!B14</f>
        <v>Coset representation of modular integers</v>
      </c>
      <c r="C14" s="2" t="n">
        <f aca="false">1-D14</f>
        <v>0.135714285714286</v>
      </c>
      <c r="D14" s="2" t="n">
        <f aca="false">MAX(F14:AX14)</f>
        <v>0.864285714285714</v>
      </c>
      <c r="E14" s="2" t="str">
        <f aca="false">INDEX(Gebruikt!$B$4:$B$48,MATCH(D14,F14:AX14,0))</f>
        <v>Chunked/windowed adders with measured boundary-carry erasure</v>
      </c>
      <c r="F14" s="2" t="n">
        <f aca="false">1-SUMPRODUCT(ABS(Ongebruikt!$AH$14:$AU$14-Gebruikt!$AH$4:$AU$4))/14</f>
        <v>0.685714285714286</v>
      </c>
      <c r="G14" s="2" t="n">
        <f aca="false">1-SUMPRODUCT(ABS(Ongebruikt!$AH$14:$AU$14-Gebruikt!$AH$5:$AU$5))/14</f>
        <v>0.771428571428571</v>
      </c>
      <c r="H14" s="2" t="n">
        <f aca="false">1-SUMPRODUCT(ABS(Ongebruikt!$AH$14:$AU$14-Gebruikt!$AH$6:$AU$6))/14</f>
        <v>0.771428571428571</v>
      </c>
      <c r="I14" s="2" t="n">
        <f aca="false">1-SUMPRODUCT(ABS(Ongebruikt!$AH$14:$AU$14-Gebruikt!$AH$7:$AU$7))/14</f>
        <v>0.771428571428571</v>
      </c>
      <c r="J14" s="2" t="n">
        <f aca="false">1-SUMPRODUCT(ABS(Ongebruikt!$AH$14:$AU$14-Gebruikt!$AH$8:$AU$8))/14</f>
        <v>0.807142857142857</v>
      </c>
      <c r="K14" s="2" t="n">
        <f aca="false">1-SUMPRODUCT(ABS(Ongebruikt!$AH$14:$AU$14-Gebruikt!$AH$9:$AU$9))/14</f>
        <v>0.742857142857143</v>
      </c>
      <c r="L14" s="2" t="n">
        <f aca="false">1-SUMPRODUCT(ABS(Ongebruikt!$AH$14:$AU$14-Gebruikt!$AH$10:$AU$10))/14</f>
        <v>0.742857142857143</v>
      </c>
      <c r="M14" s="2" t="n">
        <f aca="false">1-SUMPRODUCT(ABS(Ongebruikt!$AH$14:$AU$14-Gebruikt!$AH$11:$AU$11))/14</f>
        <v>0.742857142857143</v>
      </c>
      <c r="N14" s="2" t="n">
        <f aca="false">1-SUMPRODUCT(ABS(Ongebruikt!$AH$14:$AU$14-Gebruikt!$AH$12:$AU$12))/14</f>
        <v>0.635714285714286</v>
      </c>
      <c r="O14" s="2" t="n">
        <f aca="false">1-SUMPRODUCT(ABS(Ongebruikt!$AH$14:$AU$14-Gebruikt!$AH$13:$AU$13))/14</f>
        <v>0.857142857142857</v>
      </c>
      <c r="P14" s="2" t="n">
        <f aca="false">1-SUMPRODUCT(ABS(Ongebruikt!$AH$14:$AU$14-Gebruikt!$AH$14:$AU$14))/14</f>
        <v>0.814285714285714</v>
      </c>
      <c r="Q14" s="2" t="n">
        <f aca="false">1-SUMPRODUCT(ABS(Ongebruikt!$AH$14:$AU$14-Gebruikt!$AH$15:$AU$15))/14</f>
        <v>0.742857142857143</v>
      </c>
      <c r="R14" s="2" t="n">
        <f aca="false">1-SUMPRODUCT(ABS(Ongebruikt!$AH$14:$AU$14-Gebruikt!$AH$16:$AU$16))/14</f>
        <v>0.742857142857143</v>
      </c>
      <c r="S14" s="2" t="n">
        <f aca="false">1-SUMPRODUCT(ABS(Ongebruikt!$AH$14:$AU$14-Gebruikt!$AH$17:$AU$17))/14</f>
        <v>0.592857142857143</v>
      </c>
      <c r="T14" s="2" t="n">
        <f aca="false">1-SUMPRODUCT(ABS(Ongebruikt!$AH$14:$AU$14-Gebruikt!$AH$18:$AU$18))/14</f>
        <v>0.685714285714286</v>
      </c>
      <c r="U14" s="2" t="n">
        <f aca="false">1-SUMPRODUCT(ABS(Ongebruikt!$AH$14:$AU$14-Gebruikt!$AH$19:$AU$19))/14</f>
        <v>0.771428571428571</v>
      </c>
      <c r="V14" s="2" t="n">
        <f aca="false">1-SUMPRODUCT(ABS(Ongebruikt!$AH$14:$AU$14-Gebruikt!$AH$20:$AU$20))/14</f>
        <v>0.742857142857143</v>
      </c>
      <c r="W14" s="2" t="n">
        <f aca="false">1-SUMPRODUCT(ABS(Ongebruikt!$AH$14:$AU$14-Gebruikt!$AH$21:$AU$21))/14</f>
        <v>0.771428571428571</v>
      </c>
      <c r="X14" s="2" t="n">
        <f aca="false">1-SUMPRODUCT(ABS(Ongebruikt!$AH$14:$AU$14-Gebruikt!$AH$22:$AU$22))/14</f>
        <v>0.864285714285714</v>
      </c>
      <c r="Y14" s="2" t="n">
        <f aca="false">1-SUMPRODUCT(ABS(Ongebruikt!$AH$14:$AU$14-Gebruikt!$AH$23:$AU$23))/14</f>
        <v>0.807142857142857</v>
      </c>
      <c r="Z14" s="2" t="n">
        <f aca="false">1-SUMPRODUCT(ABS(Ongebruikt!$AH$14:$AU$14-Gebruikt!$AH$24:$AU$24))/14</f>
        <v>0.807142857142857</v>
      </c>
      <c r="AA14" s="2" t="n">
        <f aca="false">1-SUMPRODUCT(ABS(Ongebruikt!$AH$14:$AU$14-Gebruikt!$AH$25:$AU$25))/14</f>
        <v>0.828571428571429</v>
      </c>
      <c r="AB14" s="2" t="n">
        <f aca="false">1-SUMPRODUCT(ABS(Ongebruikt!$AH$14:$AU$14-Gebruikt!$AH$26:$AU$26))/14</f>
        <v>0.828571428571429</v>
      </c>
      <c r="AC14" s="2" t="n">
        <f aca="false">1-SUMPRODUCT(ABS(Ongebruikt!$AH$14:$AU$14-Gebruikt!$AH$27:$AU$27))/14</f>
        <v>0.785714285714286</v>
      </c>
      <c r="AD14" s="2" t="n">
        <f aca="false">1-SUMPRODUCT(ABS(Ongebruikt!$AH$14:$AU$14-Gebruikt!$AH$28:$AU$28))/14</f>
        <v>0.857142857142857</v>
      </c>
      <c r="AE14" s="2" t="n">
        <f aca="false">1-SUMPRODUCT(ABS(Ongebruikt!$AH$14:$AU$14-Gebruikt!$AH$29:$AU$29))/14</f>
        <v>0.592857142857143</v>
      </c>
      <c r="AF14" s="2" t="n">
        <f aca="false">1-SUMPRODUCT(ABS(Ongebruikt!$AH$14:$AU$14-Gebruikt!$AH$30:$AU$30))/14</f>
        <v>0.507142857142857</v>
      </c>
      <c r="AG14" s="2" t="n">
        <f aca="false">1-SUMPRODUCT(ABS(Ongebruikt!$AH$14:$AU$14-Gebruikt!$AH$31:$AU$31))/14</f>
        <v>0.757142857142857</v>
      </c>
      <c r="AH14" s="2" t="n">
        <f aca="false">1-SUMPRODUCT(ABS(Ongebruikt!$AH$14:$AU$14-Gebruikt!$AH$32:$AU$32))/14</f>
        <v>0.685714285714286</v>
      </c>
      <c r="AI14" s="2" t="n">
        <f aca="false">1-SUMPRODUCT(ABS(Ongebruikt!$AH$14:$AU$14-Gebruikt!$AH$33:$AU$33))/14</f>
        <v>0.735714285714286</v>
      </c>
      <c r="AJ14" s="2" t="n">
        <f aca="false">1-SUMPRODUCT(ABS(Ongebruikt!$AH$14:$AU$14-Gebruikt!$AH$34:$AU$34))/14</f>
        <v>0.771428571428571</v>
      </c>
      <c r="AK14" s="2" t="n">
        <f aca="false">1-SUMPRODUCT(ABS(Ongebruikt!$AH$14:$AU$14-Gebruikt!$AH$35:$AU$35))/14</f>
        <v>0.807142857142857</v>
      </c>
      <c r="AL14" s="2" t="n">
        <f aca="false">1-SUMPRODUCT(ABS(Ongebruikt!$AH$14:$AU$14-Gebruikt!$AH$36:$AU$36))/14</f>
        <v>0.757142857142857</v>
      </c>
      <c r="AM14" s="2" t="n">
        <f aca="false">1-SUMPRODUCT(ABS(Ongebruikt!$AH$14:$AU$14-Gebruikt!$AH$37:$AU$37))/14</f>
        <v>0.757142857142857</v>
      </c>
      <c r="AN14" s="2" t="n">
        <f aca="false">1-SUMPRODUCT(ABS(Ongebruikt!$AH$14:$AU$14-Gebruikt!$AH$38:$AU$38))/14</f>
        <v>0.592857142857143</v>
      </c>
      <c r="AO14" s="2" t="n">
        <f aca="false">1-SUMPRODUCT(ABS(Ongebruikt!$AH$14:$AU$14-Gebruikt!$AH$39:$AU$39))/14</f>
        <v>0.771428571428571</v>
      </c>
      <c r="AP14" s="2" t="n">
        <f aca="false">1-SUMPRODUCT(ABS(Ongebruikt!$AH$14:$AU$14-Gebruikt!$AH$40:$AU$40))/14</f>
        <v>0.742857142857143</v>
      </c>
      <c r="AQ14" s="2" t="n">
        <f aca="false">1-SUMPRODUCT(ABS(Ongebruikt!$AH$14:$AU$14-Gebruikt!$AH$41:$AU$41))/14</f>
        <v>0.578571428571429</v>
      </c>
      <c r="AR14" s="2" t="n">
        <f aca="false">1-SUMPRODUCT(ABS(Ongebruikt!$AH$14:$AU$14-Gebruikt!$AH$42:$AU$42))/14</f>
        <v>0.742857142857143</v>
      </c>
      <c r="AS14" s="2" t="n">
        <f aca="false">1-SUMPRODUCT(ABS(Ongebruikt!$AH$14:$AU$14-Gebruikt!$AH$43:$AU$43))/14</f>
        <v>0.735714285714286</v>
      </c>
      <c r="AT14" s="2" t="n">
        <f aca="false">1-SUMPRODUCT(ABS(Ongebruikt!$AH$14:$AU$14-Gebruikt!$AH$44:$AU$44))/14</f>
        <v>0.735714285714286</v>
      </c>
      <c r="AU14" s="2" t="n">
        <f aca="false">1-SUMPRODUCT(ABS(Ongebruikt!$AH$14:$AU$14-Gebruikt!$AH$45:$AU$45))/14</f>
        <v>0.735714285714286</v>
      </c>
      <c r="AV14" s="2" t="n">
        <f aca="false">1-SUMPRODUCT(ABS(Ongebruikt!$AH$14:$AU$14-Gebruikt!$AH$46:$AU$46))/14</f>
        <v>0.864285714285714</v>
      </c>
      <c r="AW14" s="2" t="n">
        <f aca="false">1-SUMPRODUCT(ABS(Ongebruikt!$AH$14:$AU$14-Gebruikt!$AH$47:$AU$47))/14</f>
        <v>0.742857142857143</v>
      </c>
      <c r="AX14" s="2" t="n">
        <f aca="false">1-SUMPRODUCT(ABS(Ongebruikt!$AH$14:$AU$14-Gebruikt!$AH$48:$AU$48))/14</f>
        <v>0.592857142857143</v>
      </c>
    </row>
    <row r="15" customFormat="false" ht="15" hidden="false" customHeight="false" outlineLevel="0" collapsed="false">
      <c r="A15" s="8" t="str">
        <f aca="false">Ongebruikt!A15</f>
        <v>U12</v>
      </c>
      <c r="B15" s="8" t="str">
        <f aca="false">Ongebruikt!B15</f>
        <v>Oblivious carry runways (piecewise adders)</v>
      </c>
      <c r="C15" s="2" t="n">
        <f aca="false">1-D15</f>
        <v>0.15</v>
      </c>
      <c r="D15" s="2" t="n">
        <f aca="false">MAX(F15:AX15)</f>
        <v>0.85</v>
      </c>
      <c r="E15" s="2" t="str">
        <f aca="false">INDEX(Gebruikt!$B$4:$B$48,MATCH(D15,F15:AX15,0))</f>
        <v>Chunked/windowed adders with measured boundary-carry erasure</v>
      </c>
      <c r="F15" s="2" t="n">
        <f aca="false">1-SUMPRODUCT(ABS(Ongebruikt!$AH$15:$AU$15-Gebruikt!$AH$4:$AU$4))/14</f>
        <v>0.671428571428572</v>
      </c>
      <c r="G15" s="2" t="n">
        <f aca="false">1-SUMPRODUCT(ABS(Ongebruikt!$AH$15:$AU$15-Gebruikt!$AH$5:$AU$5))/14</f>
        <v>0.757142857142857</v>
      </c>
      <c r="H15" s="2" t="n">
        <f aca="false">1-SUMPRODUCT(ABS(Ongebruikt!$AH$15:$AU$15-Gebruikt!$AH$6:$AU$6))/14</f>
        <v>0.757142857142857</v>
      </c>
      <c r="I15" s="2" t="n">
        <f aca="false">1-SUMPRODUCT(ABS(Ongebruikt!$AH$15:$AU$15-Gebruikt!$AH$7:$AU$7))/14</f>
        <v>0.757142857142857</v>
      </c>
      <c r="J15" s="2" t="n">
        <f aca="false">1-SUMPRODUCT(ABS(Ongebruikt!$AH$15:$AU$15-Gebruikt!$AH$8:$AU$8))/14</f>
        <v>0.792857142857143</v>
      </c>
      <c r="K15" s="2" t="n">
        <f aca="false">1-SUMPRODUCT(ABS(Ongebruikt!$AH$15:$AU$15-Gebruikt!$AH$9:$AU$9))/14</f>
        <v>0.757142857142857</v>
      </c>
      <c r="L15" s="2" t="n">
        <f aca="false">1-SUMPRODUCT(ABS(Ongebruikt!$AH$15:$AU$15-Gebruikt!$AH$10:$AU$10))/14</f>
        <v>0.757142857142857</v>
      </c>
      <c r="M15" s="2" t="n">
        <f aca="false">1-SUMPRODUCT(ABS(Ongebruikt!$AH$15:$AU$15-Gebruikt!$AH$11:$AU$11))/14</f>
        <v>0.757142857142857</v>
      </c>
      <c r="N15" s="2" t="n">
        <f aca="false">1-SUMPRODUCT(ABS(Ongebruikt!$AH$15:$AU$15-Gebruikt!$AH$12:$AU$12))/14</f>
        <v>0.65</v>
      </c>
      <c r="O15" s="2" t="n">
        <f aca="false">1-SUMPRODUCT(ABS(Ongebruikt!$AH$15:$AU$15-Gebruikt!$AH$13:$AU$13))/14</f>
        <v>0.842857142857143</v>
      </c>
      <c r="P15" s="2" t="n">
        <f aca="false">1-SUMPRODUCT(ABS(Ongebruikt!$AH$15:$AU$15-Gebruikt!$AH$14:$AU$14))/14</f>
        <v>0.828571428571429</v>
      </c>
      <c r="Q15" s="2" t="n">
        <f aca="false">1-SUMPRODUCT(ABS(Ongebruikt!$AH$15:$AU$15-Gebruikt!$AH$15:$AU$15))/14</f>
        <v>0.757142857142857</v>
      </c>
      <c r="R15" s="2" t="n">
        <f aca="false">1-SUMPRODUCT(ABS(Ongebruikt!$AH$15:$AU$15-Gebruikt!$AH$16:$AU$16))/14</f>
        <v>0.757142857142857</v>
      </c>
      <c r="S15" s="2" t="n">
        <f aca="false">1-SUMPRODUCT(ABS(Ongebruikt!$AH$15:$AU$15-Gebruikt!$AH$17:$AU$17))/14</f>
        <v>0.607142857142857</v>
      </c>
      <c r="T15" s="2" t="n">
        <f aca="false">1-SUMPRODUCT(ABS(Ongebruikt!$AH$15:$AU$15-Gebruikt!$AH$18:$AU$18))/14</f>
        <v>0.671428571428572</v>
      </c>
      <c r="U15" s="2" t="n">
        <f aca="false">1-SUMPRODUCT(ABS(Ongebruikt!$AH$15:$AU$15-Gebruikt!$AH$19:$AU$19))/14</f>
        <v>0.757142857142857</v>
      </c>
      <c r="V15" s="2" t="n">
        <f aca="false">1-SUMPRODUCT(ABS(Ongebruikt!$AH$15:$AU$15-Gebruikt!$AH$20:$AU$20))/14</f>
        <v>0.757142857142857</v>
      </c>
      <c r="W15" s="2" t="n">
        <f aca="false">1-SUMPRODUCT(ABS(Ongebruikt!$AH$15:$AU$15-Gebruikt!$AH$21:$AU$21))/14</f>
        <v>0.757142857142857</v>
      </c>
      <c r="X15" s="2" t="n">
        <f aca="false">1-SUMPRODUCT(ABS(Ongebruikt!$AH$15:$AU$15-Gebruikt!$AH$22:$AU$22))/14</f>
        <v>0.85</v>
      </c>
      <c r="Y15" s="2" t="n">
        <f aca="false">1-SUMPRODUCT(ABS(Ongebruikt!$AH$15:$AU$15-Gebruikt!$AH$23:$AU$23))/14</f>
        <v>0.792857142857143</v>
      </c>
      <c r="Z15" s="2" t="n">
        <f aca="false">1-SUMPRODUCT(ABS(Ongebruikt!$AH$15:$AU$15-Gebruikt!$AH$24:$AU$24))/14</f>
        <v>0.792857142857143</v>
      </c>
      <c r="AA15" s="2" t="n">
        <f aca="false">1-SUMPRODUCT(ABS(Ongebruikt!$AH$15:$AU$15-Gebruikt!$AH$25:$AU$25))/14</f>
        <v>0.814285714285714</v>
      </c>
      <c r="AB15" s="2" t="n">
        <f aca="false">1-SUMPRODUCT(ABS(Ongebruikt!$AH$15:$AU$15-Gebruikt!$AH$26:$AU$26))/14</f>
        <v>0.814285714285714</v>
      </c>
      <c r="AC15" s="2" t="n">
        <f aca="false">1-SUMPRODUCT(ABS(Ongebruikt!$AH$15:$AU$15-Gebruikt!$AH$27:$AU$27))/14</f>
        <v>0.771428571428571</v>
      </c>
      <c r="AD15" s="2" t="n">
        <f aca="false">1-SUMPRODUCT(ABS(Ongebruikt!$AH$15:$AU$15-Gebruikt!$AH$28:$AU$28))/14</f>
        <v>0.842857142857143</v>
      </c>
      <c r="AE15" s="2" t="n">
        <f aca="false">1-SUMPRODUCT(ABS(Ongebruikt!$AH$15:$AU$15-Gebruikt!$AH$29:$AU$29))/14</f>
        <v>0.578571428571429</v>
      </c>
      <c r="AF15" s="2" t="n">
        <f aca="false">1-SUMPRODUCT(ABS(Ongebruikt!$AH$15:$AU$15-Gebruikt!$AH$30:$AU$30))/14</f>
        <v>0.521428571428571</v>
      </c>
      <c r="AG15" s="2" t="n">
        <f aca="false">1-SUMPRODUCT(ABS(Ongebruikt!$AH$15:$AU$15-Gebruikt!$AH$31:$AU$31))/14</f>
        <v>0.742857142857143</v>
      </c>
      <c r="AH15" s="2" t="n">
        <f aca="false">1-SUMPRODUCT(ABS(Ongebruikt!$AH$15:$AU$15-Gebruikt!$AH$32:$AU$32))/14</f>
        <v>0.671428571428572</v>
      </c>
      <c r="AI15" s="2" t="n">
        <f aca="false">1-SUMPRODUCT(ABS(Ongebruikt!$AH$15:$AU$15-Gebruikt!$AH$33:$AU$33))/14</f>
        <v>0.721428571428571</v>
      </c>
      <c r="AJ15" s="2" t="n">
        <f aca="false">1-SUMPRODUCT(ABS(Ongebruikt!$AH$15:$AU$15-Gebruikt!$AH$34:$AU$34))/14</f>
        <v>0.757142857142857</v>
      </c>
      <c r="AK15" s="2" t="n">
        <f aca="false">1-SUMPRODUCT(ABS(Ongebruikt!$AH$15:$AU$15-Gebruikt!$AH$35:$AU$35))/14</f>
        <v>0.792857142857143</v>
      </c>
      <c r="AL15" s="2" t="n">
        <f aca="false">1-SUMPRODUCT(ABS(Ongebruikt!$AH$15:$AU$15-Gebruikt!$AH$36:$AU$36))/14</f>
        <v>0.742857142857143</v>
      </c>
      <c r="AM15" s="2" t="n">
        <f aca="false">1-SUMPRODUCT(ABS(Ongebruikt!$AH$15:$AU$15-Gebruikt!$AH$37:$AU$37))/14</f>
        <v>0.742857142857143</v>
      </c>
      <c r="AN15" s="2" t="n">
        <f aca="false">1-SUMPRODUCT(ABS(Ongebruikt!$AH$15:$AU$15-Gebruikt!$AH$38:$AU$38))/14</f>
        <v>0.578571428571429</v>
      </c>
      <c r="AO15" s="2" t="n">
        <f aca="false">1-SUMPRODUCT(ABS(Ongebruikt!$AH$15:$AU$15-Gebruikt!$AH$39:$AU$39))/14</f>
        <v>0.757142857142857</v>
      </c>
      <c r="AP15" s="2" t="n">
        <f aca="false">1-SUMPRODUCT(ABS(Ongebruikt!$AH$15:$AU$15-Gebruikt!$AH$40:$AU$40))/14</f>
        <v>0.757142857142857</v>
      </c>
      <c r="AQ15" s="2" t="n">
        <f aca="false">1-SUMPRODUCT(ABS(Ongebruikt!$AH$15:$AU$15-Gebruikt!$AH$41:$AU$41))/14</f>
        <v>0.592857142857143</v>
      </c>
      <c r="AR15" s="2" t="n">
        <f aca="false">1-SUMPRODUCT(ABS(Ongebruikt!$AH$15:$AU$15-Gebruikt!$AH$42:$AU$42))/14</f>
        <v>0.757142857142857</v>
      </c>
      <c r="AS15" s="2" t="n">
        <f aca="false">1-SUMPRODUCT(ABS(Ongebruikt!$AH$15:$AU$15-Gebruikt!$AH$43:$AU$43))/14</f>
        <v>0.75</v>
      </c>
      <c r="AT15" s="2" t="n">
        <f aca="false">1-SUMPRODUCT(ABS(Ongebruikt!$AH$15:$AU$15-Gebruikt!$AH$44:$AU$44))/14</f>
        <v>0.75</v>
      </c>
      <c r="AU15" s="2" t="n">
        <f aca="false">1-SUMPRODUCT(ABS(Ongebruikt!$AH$15:$AU$15-Gebruikt!$AH$45:$AU$45))/14</f>
        <v>0.75</v>
      </c>
      <c r="AV15" s="2" t="n">
        <f aca="false">1-SUMPRODUCT(ABS(Ongebruikt!$AH$15:$AU$15-Gebruikt!$AH$46:$AU$46))/14</f>
        <v>0.85</v>
      </c>
      <c r="AW15" s="2" t="n">
        <f aca="false">1-SUMPRODUCT(ABS(Ongebruikt!$AH$15:$AU$15-Gebruikt!$AH$47:$AU$47))/14</f>
        <v>0.757142857142857</v>
      </c>
      <c r="AX15" s="2" t="n">
        <f aca="false">1-SUMPRODUCT(ABS(Ongebruikt!$AH$15:$AU$15-Gebruikt!$AH$48:$AU$48))/14</f>
        <v>0.607142857142857</v>
      </c>
    </row>
    <row r="16" customFormat="false" ht="15" hidden="false" customHeight="false" outlineLevel="0" collapsed="false">
      <c r="A16" s="8" t="str">
        <f aca="false">Ongebruikt!A16</f>
        <v>U13</v>
      </c>
      <c r="B16" s="8" t="str">
        <f aca="false">Ongebruikt!B16</f>
        <v>Residue number system arithmetic</v>
      </c>
      <c r="C16" s="2" t="n">
        <f aca="false">1-D16</f>
        <v>0.257142857142857</v>
      </c>
      <c r="D16" s="2" t="n">
        <f aca="false">MAX(F16:AX16)</f>
        <v>0.742857142857143</v>
      </c>
      <c r="E16" s="2" t="str">
        <f aca="false">INDEX(Gebruikt!$B$4:$B$48,MATCH(D16,F16:AX16,0))</f>
        <v>Chunked/windowed adders with measured boundary-carry erasure</v>
      </c>
      <c r="F16" s="2" t="n">
        <f aca="false">1-SUMPRODUCT(ABS(Ongebruikt!$AH$16:$AU$16-Gebruikt!$AH$4:$AU$4))/14</f>
        <v>0.621428571428571</v>
      </c>
      <c r="G16" s="2" t="n">
        <f aca="false">1-SUMPRODUCT(ABS(Ongebruikt!$AH$16:$AU$16-Gebruikt!$AH$5:$AU$5))/14</f>
        <v>0.464285714285714</v>
      </c>
      <c r="H16" s="2" t="n">
        <f aca="false">1-SUMPRODUCT(ABS(Ongebruikt!$AH$16:$AU$16-Gebruikt!$AH$6:$AU$6))/14</f>
        <v>0.464285714285714</v>
      </c>
      <c r="I16" s="2" t="n">
        <f aca="false">1-SUMPRODUCT(ABS(Ongebruikt!$AH$16:$AU$16-Gebruikt!$AH$7:$AU$7))/14</f>
        <v>0.678571428571429</v>
      </c>
      <c r="J16" s="2" t="n">
        <f aca="false">1-SUMPRODUCT(ABS(Ongebruikt!$AH$16:$AU$16-Gebruikt!$AH$8:$AU$8))/14</f>
        <v>0.5</v>
      </c>
      <c r="K16" s="2" t="n">
        <f aca="false">1-SUMPRODUCT(ABS(Ongebruikt!$AH$16:$AU$16-Gebruikt!$AH$9:$AU$9))/14</f>
        <v>0.435714285714286</v>
      </c>
      <c r="L16" s="2" t="n">
        <f aca="false">1-SUMPRODUCT(ABS(Ongebruikt!$AH$16:$AU$16-Gebruikt!$AH$10:$AU$10))/14</f>
        <v>0.435714285714286</v>
      </c>
      <c r="M16" s="2" t="n">
        <f aca="false">1-SUMPRODUCT(ABS(Ongebruikt!$AH$16:$AU$16-Gebruikt!$AH$11:$AU$11))/14</f>
        <v>0.435714285714286</v>
      </c>
      <c r="N16" s="2" t="n">
        <f aca="false">1-SUMPRODUCT(ABS(Ongebruikt!$AH$16:$AU$16-Gebruikt!$AH$12:$AU$12))/14</f>
        <v>0.542857142857143</v>
      </c>
      <c r="O16" s="2" t="n">
        <f aca="false">1-SUMPRODUCT(ABS(Ongebruikt!$AH$16:$AU$16-Gebruikt!$AH$13:$AU$13))/14</f>
        <v>0.735714285714286</v>
      </c>
      <c r="P16" s="2" t="n">
        <f aca="false">1-SUMPRODUCT(ABS(Ongebruikt!$AH$16:$AU$16-Gebruikt!$AH$14:$AU$14))/14</f>
        <v>0.507142857142857</v>
      </c>
      <c r="Q16" s="2" t="n">
        <f aca="false">1-SUMPRODUCT(ABS(Ongebruikt!$AH$16:$AU$16-Gebruikt!$AH$15:$AU$15))/14</f>
        <v>0.435714285714286</v>
      </c>
      <c r="R16" s="2" t="n">
        <f aca="false">1-SUMPRODUCT(ABS(Ongebruikt!$AH$16:$AU$16-Gebruikt!$AH$16:$AU$16))/14</f>
        <v>0.435714285714286</v>
      </c>
      <c r="S16" s="2" t="n">
        <f aca="false">1-SUMPRODUCT(ABS(Ongebruikt!$AH$16:$AU$16-Gebruikt!$AH$17:$AU$17))/14</f>
        <v>0.614285714285714</v>
      </c>
      <c r="T16" s="2" t="n">
        <f aca="false">1-SUMPRODUCT(ABS(Ongebruikt!$AH$16:$AU$16-Gebruikt!$AH$18:$AU$18))/14</f>
        <v>0.621428571428571</v>
      </c>
      <c r="U16" s="2" t="n">
        <f aca="false">1-SUMPRODUCT(ABS(Ongebruikt!$AH$16:$AU$16-Gebruikt!$AH$19:$AU$19))/14</f>
        <v>0.535714285714286</v>
      </c>
      <c r="V16" s="2" t="n">
        <f aca="false">1-SUMPRODUCT(ABS(Ongebruikt!$AH$16:$AU$16-Gebruikt!$AH$20:$AU$20))/14</f>
        <v>0.435714285714286</v>
      </c>
      <c r="W16" s="2" t="n">
        <f aca="false">1-SUMPRODUCT(ABS(Ongebruikt!$AH$16:$AU$16-Gebruikt!$AH$21:$AU$21))/14</f>
        <v>0.464285714285714</v>
      </c>
      <c r="X16" s="2" t="n">
        <f aca="false">1-SUMPRODUCT(ABS(Ongebruikt!$AH$16:$AU$16-Gebruikt!$AH$22:$AU$22))/14</f>
        <v>0.742857142857143</v>
      </c>
      <c r="Y16" s="2" t="n">
        <f aca="false">1-SUMPRODUCT(ABS(Ongebruikt!$AH$16:$AU$16-Gebruikt!$AH$23:$AU$23))/14</f>
        <v>0.5</v>
      </c>
      <c r="Z16" s="2" t="n">
        <f aca="false">1-SUMPRODUCT(ABS(Ongebruikt!$AH$16:$AU$16-Gebruikt!$AH$24:$AU$24))/14</f>
        <v>0.5</v>
      </c>
      <c r="AA16" s="2" t="n">
        <f aca="false">1-SUMPRODUCT(ABS(Ongebruikt!$AH$16:$AU$16-Gebruikt!$AH$25:$AU$25))/14</f>
        <v>0.592857142857143</v>
      </c>
      <c r="AB16" s="2" t="n">
        <f aca="false">1-SUMPRODUCT(ABS(Ongebruikt!$AH$16:$AU$16-Gebruikt!$AH$26:$AU$26))/14</f>
        <v>0.735714285714286</v>
      </c>
      <c r="AC16" s="2" t="n">
        <f aca="false">1-SUMPRODUCT(ABS(Ongebruikt!$AH$16:$AU$16-Gebruikt!$AH$27:$AU$27))/14</f>
        <v>0.664285714285714</v>
      </c>
      <c r="AD16" s="2" t="n">
        <f aca="false">1-SUMPRODUCT(ABS(Ongebruikt!$AH$16:$AU$16-Gebruikt!$AH$28:$AU$28))/14</f>
        <v>0.735714285714286</v>
      </c>
      <c r="AE16" s="2" t="n">
        <f aca="false">1-SUMPRODUCT(ABS(Ongebruikt!$AH$16:$AU$16-Gebruikt!$AH$29:$AU$29))/14</f>
        <v>0.642857142857143</v>
      </c>
      <c r="AF16" s="2" t="n">
        <f aca="false">1-SUMPRODUCT(ABS(Ongebruikt!$AH$16:$AU$16-Gebruikt!$AH$30:$AU$30))/14</f>
        <v>0.671428571428572</v>
      </c>
      <c r="AG16" s="2" t="n">
        <f aca="false">1-SUMPRODUCT(ABS(Ongebruikt!$AH$16:$AU$16-Gebruikt!$AH$31:$AU$31))/14</f>
        <v>0.55</v>
      </c>
      <c r="AH16" s="2" t="n">
        <f aca="false">1-SUMPRODUCT(ABS(Ongebruikt!$AH$16:$AU$16-Gebruikt!$AH$32:$AU$32))/14</f>
        <v>0.621428571428571</v>
      </c>
      <c r="AI16" s="2" t="n">
        <f aca="false">1-SUMPRODUCT(ABS(Ongebruikt!$AH$16:$AU$16-Gebruikt!$AH$33:$AU$33))/14</f>
        <v>0.642857142857143</v>
      </c>
      <c r="AJ16" s="2" t="n">
        <f aca="false">1-SUMPRODUCT(ABS(Ongebruikt!$AH$16:$AU$16-Gebruikt!$AH$34:$AU$34))/14</f>
        <v>0.464285714285714</v>
      </c>
      <c r="AK16" s="2" t="n">
        <f aca="false">1-SUMPRODUCT(ABS(Ongebruikt!$AH$16:$AU$16-Gebruikt!$AH$35:$AU$35))/14</f>
        <v>0.5</v>
      </c>
      <c r="AL16" s="2" t="n">
        <f aca="false">1-SUMPRODUCT(ABS(Ongebruikt!$AH$16:$AU$16-Gebruikt!$AH$36:$AU$36))/14</f>
        <v>0.55</v>
      </c>
      <c r="AM16" s="2" t="n">
        <f aca="false">1-SUMPRODUCT(ABS(Ongebruikt!$AH$16:$AU$16-Gebruikt!$AH$37:$AU$37))/14</f>
        <v>0.692857142857143</v>
      </c>
      <c r="AN16" s="2" t="n">
        <f aca="false">1-SUMPRODUCT(ABS(Ongebruikt!$AH$16:$AU$16-Gebruikt!$AH$38:$AU$38))/14</f>
        <v>0.642857142857143</v>
      </c>
      <c r="AO16" s="2" t="n">
        <f aca="false">1-SUMPRODUCT(ABS(Ongebruikt!$AH$16:$AU$16-Gebruikt!$AH$39:$AU$39))/14</f>
        <v>0.678571428571429</v>
      </c>
      <c r="AP16" s="2" t="n">
        <f aca="false">1-SUMPRODUCT(ABS(Ongebruikt!$AH$16:$AU$16-Gebruikt!$AH$40:$AU$40))/14</f>
        <v>0.435714285714286</v>
      </c>
      <c r="AQ16" s="2" t="n">
        <f aca="false">1-SUMPRODUCT(ABS(Ongebruikt!$AH$16:$AU$16-Gebruikt!$AH$41:$AU$41))/14</f>
        <v>0.6</v>
      </c>
      <c r="AR16" s="2" t="n">
        <f aca="false">1-SUMPRODUCT(ABS(Ongebruikt!$AH$16:$AU$16-Gebruikt!$AH$42:$AU$42))/14</f>
        <v>0.435714285714286</v>
      </c>
      <c r="AS16" s="2" t="n">
        <f aca="false">1-SUMPRODUCT(ABS(Ongebruikt!$AH$16:$AU$16-Gebruikt!$AH$43:$AU$43))/14</f>
        <v>0.614285714285714</v>
      </c>
      <c r="AT16" s="2" t="n">
        <f aca="false">1-SUMPRODUCT(ABS(Ongebruikt!$AH$16:$AU$16-Gebruikt!$AH$44:$AU$44))/14</f>
        <v>0.471428571428571</v>
      </c>
      <c r="AU16" s="2" t="n">
        <f aca="false">1-SUMPRODUCT(ABS(Ongebruikt!$AH$16:$AU$16-Gebruikt!$AH$45:$AU$45))/14</f>
        <v>0.614285714285714</v>
      </c>
      <c r="AV16" s="2" t="n">
        <f aca="false">1-SUMPRODUCT(ABS(Ongebruikt!$AH$16:$AU$16-Gebruikt!$AH$46:$AU$46))/14</f>
        <v>0.6</v>
      </c>
      <c r="AW16" s="2" t="n">
        <f aca="false">1-SUMPRODUCT(ABS(Ongebruikt!$AH$16:$AU$16-Gebruikt!$AH$47:$AU$47))/14</f>
        <v>0.435714285714286</v>
      </c>
      <c r="AX16" s="2" t="n">
        <f aca="false">1-SUMPRODUCT(ABS(Ongebruikt!$AH$16:$AU$16-Gebruikt!$AH$48:$AU$48))/14</f>
        <v>0.614285714285714</v>
      </c>
    </row>
    <row r="17" customFormat="false" ht="15" hidden="false" customHeight="false" outlineLevel="0" collapsed="false">
      <c r="A17" s="8" t="str">
        <f aca="false">Ongebruikt!A17</f>
        <v>U14</v>
      </c>
      <c r="B17" s="8" t="str">
        <f aca="false">Ongebruikt!B17</f>
        <v>Approximate residue arithmetic (truncated outputs)</v>
      </c>
      <c r="C17" s="2" t="n">
        <f aca="false">1-D17</f>
        <v>0.142857142857143</v>
      </c>
      <c r="D17" s="2" t="n">
        <f aca="false">MAX(F17:AX17)</f>
        <v>0.857142857142857</v>
      </c>
      <c r="E17" s="2" t="str">
        <f aca="false">INDEX(Gebruikt!$B$4:$B$48,MATCH(D17,F17:AX17,0))</f>
        <v>Classical offset point held in classical bit registers</v>
      </c>
      <c r="F17" s="2" t="n">
        <f aca="false">1-SUMPRODUCT(ABS(Ongebruikt!$AH$17:$AU$17-Gebruikt!$AH$4:$AU$4))/14</f>
        <v>0.492857142857143</v>
      </c>
      <c r="G17" s="2" t="n">
        <f aca="false">1-SUMPRODUCT(ABS(Ongebruikt!$AH$17:$AU$17-Gebruikt!$AH$5:$AU$5))/14</f>
        <v>0.65</v>
      </c>
      <c r="H17" s="2" t="n">
        <f aca="false">1-SUMPRODUCT(ABS(Ongebruikt!$AH$17:$AU$17-Gebruikt!$AH$6:$AU$6))/14</f>
        <v>0.65</v>
      </c>
      <c r="I17" s="2" t="n">
        <f aca="false">1-SUMPRODUCT(ABS(Ongebruikt!$AH$17:$AU$17-Gebruikt!$AH$7:$AU$7))/14</f>
        <v>0.792857142857143</v>
      </c>
      <c r="J17" s="2" t="n">
        <f aca="false">1-SUMPRODUCT(ABS(Ongebruikt!$AH$17:$AU$17-Gebruikt!$AH$8:$AU$8))/14</f>
        <v>0.614285714285714</v>
      </c>
      <c r="K17" s="2" t="n">
        <f aca="false">1-SUMPRODUCT(ABS(Ongebruikt!$AH$17:$AU$17-Gebruikt!$AH$9:$AU$9))/14</f>
        <v>0.621428571428571</v>
      </c>
      <c r="L17" s="2" t="n">
        <f aca="false">1-SUMPRODUCT(ABS(Ongebruikt!$AH$17:$AU$17-Gebruikt!$AH$10:$AU$10))/14</f>
        <v>0.621428571428571</v>
      </c>
      <c r="M17" s="2" t="n">
        <f aca="false">1-SUMPRODUCT(ABS(Ongebruikt!$AH$17:$AU$17-Gebruikt!$AH$11:$AU$11))/14</f>
        <v>0.621428571428571</v>
      </c>
      <c r="N17" s="2" t="n">
        <f aca="false">1-SUMPRODUCT(ABS(Ongebruikt!$AH$17:$AU$17-Gebruikt!$AH$12:$AU$12))/14</f>
        <v>0.728571428571429</v>
      </c>
      <c r="O17" s="2" t="n">
        <f aca="false">1-SUMPRODUCT(ABS(Ongebruikt!$AH$17:$AU$17-Gebruikt!$AH$13:$AU$13))/14</f>
        <v>0.635714285714286</v>
      </c>
      <c r="P17" s="2" t="n">
        <f aca="false">1-SUMPRODUCT(ABS(Ongebruikt!$AH$17:$AU$17-Gebruikt!$AH$14:$AU$14))/14</f>
        <v>0.692857142857143</v>
      </c>
      <c r="Q17" s="2" t="n">
        <f aca="false">1-SUMPRODUCT(ABS(Ongebruikt!$AH$17:$AU$17-Gebruikt!$AH$15:$AU$15))/14</f>
        <v>0.621428571428571</v>
      </c>
      <c r="R17" s="2" t="n">
        <f aca="false">1-SUMPRODUCT(ABS(Ongebruikt!$AH$17:$AU$17-Gebruikt!$AH$16:$AU$16))/14</f>
        <v>0.621428571428571</v>
      </c>
      <c r="S17" s="2" t="n">
        <f aca="false">1-SUMPRODUCT(ABS(Ongebruikt!$AH$17:$AU$17-Gebruikt!$AH$17:$AU$17))/14</f>
        <v>0.8</v>
      </c>
      <c r="T17" s="2" t="n">
        <f aca="false">1-SUMPRODUCT(ABS(Ongebruikt!$AH$17:$AU$17-Gebruikt!$AH$18:$AU$18))/14</f>
        <v>0.492857142857143</v>
      </c>
      <c r="U17" s="2" t="n">
        <f aca="false">1-SUMPRODUCT(ABS(Ongebruikt!$AH$17:$AU$17-Gebruikt!$AH$19:$AU$19))/14</f>
        <v>0.435714285714286</v>
      </c>
      <c r="V17" s="2" t="n">
        <f aca="false">1-SUMPRODUCT(ABS(Ongebruikt!$AH$17:$AU$17-Gebruikt!$AH$20:$AU$20))/14</f>
        <v>0.621428571428571</v>
      </c>
      <c r="W17" s="2" t="n">
        <f aca="false">1-SUMPRODUCT(ABS(Ongebruikt!$AH$17:$AU$17-Gebruikt!$AH$21:$AU$21))/14</f>
        <v>0.65</v>
      </c>
      <c r="X17" s="2" t="n">
        <f aca="false">1-SUMPRODUCT(ABS(Ongebruikt!$AH$17:$AU$17-Gebruikt!$AH$22:$AU$22))/14</f>
        <v>0.642857142857143</v>
      </c>
      <c r="Y17" s="2" t="n">
        <f aca="false">1-SUMPRODUCT(ABS(Ongebruikt!$AH$17:$AU$17-Gebruikt!$AH$23:$AU$23))/14</f>
        <v>0.614285714285714</v>
      </c>
      <c r="Z17" s="2" t="n">
        <f aca="false">1-SUMPRODUCT(ABS(Ongebruikt!$AH$17:$AU$17-Gebruikt!$AH$24:$AU$24))/14</f>
        <v>0.614285714285714</v>
      </c>
      <c r="AA17" s="2" t="n">
        <f aca="false">1-SUMPRODUCT(ABS(Ongebruikt!$AH$17:$AU$17-Gebruikt!$AH$25:$AU$25))/14</f>
        <v>0.464285714285714</v>
      </c>
      <c r="AB17" s="2" t="n">
        <f aca="false">1-SUMPRODUCT(ABS(Ongebruikt!$AH$17:$AU$17-Gebruikt!$AH$26:$AU$26))/14</f>
        <v>0.607142857142857</v>
      </c>
      <c r="AC17" s="2" t="n">
        <f aca="false">1-SUMPRODUCT(ABS(Ongebruikt!$AH$17:$AU$17-Gebruikt!$AH$27:$AU$27))/14</f>
        <v>0.564285714285714</v>
      </c>
      <c r="AD17" s="2" t="n">
        <f aca="false">1-SUMPRODUCT(ABS(Ongebruikt!$AH$17:$AU$17-Gebruikt!$AH$28:$AU$28))/14</f>
        <v>0.635714285714286</v>
      </c>
      <c r="AE17" s="2" t="n">
        <f aca="false">1-SUMPRODUCT(ABS(Ongebruikt!$AH$17:$AU$17-Gebruikt!$AH$29:$AU$29))/14</f>
        <v>0.828571428571429</v>
      </c>
      <c r="AF17" s="2" t="n">
        <f aca="false">1-SUMPRODUCT(ABS(Ongebruikt!$AH$17:$AU$17-Gebruikt!$AH$30:$AU$30))/14</f>
        <v>0.857142857142857</v>
      </c>
      <c r="AG17" s="2" t="n">
        <f aca="false">1-SUMPRODUCT(ABS(Ongebruikt!$AH$17:$AU$17-Gebruikt!$AH$31:$AU$31))/14</f>
        <v>0.421428571428572</v>
      </c>
      <c r="AH17" s="2" t="n">
        <f aca="false">1-SUMPRODUCT(ABS(Ongebruikt!$AH$17:$AU$17-Gebruikt!$AH$32:$AU$32))/14</f>
        <v>0.492857142857143</v>
      </c>
      <c r="AI17" s="2" t="n">
        <f aca="false">1-SUMPRODUCT(ABS(Ongebruikt!$AH$17:$AU$17-Gebruikt!$AH$33:$AU$33))/14</f>
        <v>0.828571428571429</v>
      </c>
      <c r="AJ17" s="2" t="n">
        <f aca="false">1-SUMPRODUCT(ABS(Ongebruikt!$AH$17:$AU$17-Gebruikt!$AH$34:$AU$34))/14</f>
        <v>0.65</v>
      </c>
      <c r="AK17" s="2" t="n">
        <f aca="false">1-SUMPRODUCT(ABS(Ongebruikt!$AH$17:$AU$17-Gebruikt!$AH$35:$AU$35))/14</f>
        <v>0.614285714285714</v>
      </c>
      <c r="AL17" s="2" t="n">
        <f aca="false">1-SUMPRODUCT(ABS(Ongebruikt!$AH$17:$AU$17-Gebruikt!$AH$36:$AU$36))/14</f>
        <v>0.421428571428572</v>
      </c>
      <c r="AM17" s="2" t="n">
        <f aca="false">1-SUMPRODUCT(ABS(Ongebruikt!$AH$17:$AU$17-Gebruikt!$AH$37:$AU$37))/14</f>
        <v>0.564285714285714</v>
      </c>
      <c r="AN17" s="2" t="n">
        <f aca="false">1-SUMPRODUCT(ABS(Ongebruikt!$AH$17:$AU$17-Gebruikt!$AH$38:$AU$38))/14</f>
        <v>0.828571428571429</v>
      </c>
      <c r="AO17" s="2" t="n">
        <f aca="false">1-SUMPRODUCT(ABS(Ongebruikt!$AH$17:$AU$17-Gebruikt!$AH$39:$AU$39))/14</f>
        <v>0.578571428571429</v>
      </c>
      <c r="AP17" s="2" t="n">
        <f aca="false">1-SUMPRODUCT(ABS(Ongebruikt!$AH$17:$AU$17-Gebruikt!$AH$40:$AU$40))/14</f>
        <v>0.621428571428571</v>
      </c>
      <c r="AQ17" s="2" t="n">
        <f aca="false">1-SUMPRODUCT(ABS(Ongebruikt!$AH$17:$AU$17-Gebruikt!$AH$41:$AU$41))/14</f>
        <v>0.785714285714286</v>
      </c>
      <c r="AR17" s="2" t="n">
        <f aca="false">1-SUMPRODUCT(ABS(Ongebruikt!$AH$17:$AU$17-Gebruikt!$AH$42:$AU$42))/14</f>
        <v>0.621428571428571</v>
      </c>
      <c r="AS17" s="2" t="n">
        <f aca="false">1-SUMPRODUCT(ABS(Ongebruikt!$AH$17:$AU$17-Gebruikt!$AH$43:$AU$43))/14</f>
        <v>0.8</v>
      </c>
      <c r="AT17" s="2" t="n">
        <f aca="false">1-SUMPRODUCT(ABS(Ongebruikt!$AH$17:$AU$17-Gebruikt!$AH$44:$AU$44))/14</f>
        <v>0.657142857142857</v>
      </c>
      <c r="AU17" s="2" t="n">
        <f aca="false">1-SUMPRODUCT(ABS(Ongebruikt!$AH$17:$AU$17-Gebruikt!$AH$45:$AU$45))/14</f>
        <v>0.8</v>
      </c>
      <c r="AV17" s="2" t="n">
        <f aca="false">1-SUMPRODUCT(ABS(Ongebruikt!$AH$17:$AU$17-Gebruikt!$AH$46:$AU$46))/14</f>
        <v>0.5</v>
      </c>
      <c r="AW17" s="2" t="n">
        <f aca="false">1-SUMPRODUCT(ABS(Ongebruikt!$AH$17:$AU$17-Gebruikt!$AH$47:$AU$47))/14</f>
        <v>0.621428571428571</v>
      </c>
      <c r="AX17" s="2" t="n">
        <f aca="false">1-SUMPRODUCT(ABS(Ongebruikt!$AH$17:$AU$17-Gebruikt!$AH$48:$AU$48))/14</f>
        <v>0.8</v>
      </c>
    </row>
    <row r="18" customFormat="false" ht="15" hidden="false" customHeight="false" outlineLevel="0" collapsed="false">
      <c r="A18" s="8" t="str">
        <f aca="false">Ongebruikt!A18</f>
        <v>U15</v>
      </c>
      <c r="B18" s="8" t="str">
        <f aca="false">Ongebruikt!B18</f>
        <v>Ekera-Hastad short discrete-log runs</v>
      </c>
      <c r="C18" s="2" t="n">
        <f aca="false">1-D18</f>
        <v>0.1</v>
      </c>
      <c r="D18" s="2" t="n">
        <f aca="false">MAX(F18:AX18)</f>
        <v>0.9</v>
      </c>
      <c r="E18" s="2" t="str">
        <f aca="false">INDEX(Gebruikt!$B$4:$B$48,MATCH(D18,F18:AX18,0))</f>
        <v>Classical prefilter + GPU nonce search pipeline</v>
      </c>
      <c r="F18" s="2" t="n">
        <f aca="false">1-SUMPRODUCT(ABS(Ongebruikt!$AH$18:$AU$18-Gebruikt!$AH$4:$AU$4))/14</f>
        <v>0.5</v>
      </c>
      <c r="G18" s="2" t="n">
        <f aca="false">1-SUMPRODUCT(ABS(Ongebruikt!$AH$18:$AU$18-Gebruikt!$AH$5:$AU$5))/14</f>
        <v>0.871428571428571</v>
      </c>
      <c r="H18" s="2" t="n">
        <f aca="false">1-SUMPRODUCT(ABS(Ongebruikt!$AH$18:$AU$18-Gebruikt!$AH$6:$AU$6))/14</f>
        <v>0.871428571428571</v>
      </c>
      <c r="I18" s="2" t="n">
        <f aca="false">1-SUMPRODUCT(ABS(Ongebruikt!$AH$18:$AU$18-Gebruikt!$AH$7:$AU$7))/14</f>
        <v>0.657142857142857</v>
      </c>
      <c r="J18" s="2" t="n">
        <f aca="false">1-SUMPRODUCT(ABS(Ongebruikt!$AH$18:$AU$18-Gebruikt!$AH$8:$AU$8))/14</f>
        <v>0.835714285714286</v>
      </c>
      <c r="K18" s="2" t="n">
        <f aca="false">1-SUMPRODUCT(ABS(Ongebruikt!$AH$18:$AU$18-Gebruikt!$AH$9:$AU$9))/14</f>
        <v>0.757142857142857</v>
      </c>
      <c r="L18" s="2" t="n">
        <f aca="false">1-SUMPRODUCT(ABS(Ongebruikt!$AH$18:$AU$18-Gebruikt!$AH$10:$AU$10))/14</f>
        <v>0.757142857142857</v>
      </c>
      <c r="M18" s="2" t="n">
        <f aca="false">1-SUMPRODUCT(ABS(Ongebruikt!$AH$18:$AU$18-Gebruikt!$AH$11:$AU$11))/14</f>
        <v>0.757142857142857</v>
      </c>
      <c r="N18" s="2" t="n">
        <f aca="false">1-SUMPRODUCT(ABS(Ongebruikt!$AH$18:$AU$18-Gebruikt!$AH$12:$AU$12))/14</f>
        <v>0.65</v>
      </c>
      <c r="O18" s="2" t="n">
        <f aca="false">1-SUMPRODUCT(ABS(Ongebruikt!$AH$18:$AU$18-Gebruikt!$AH$13:$AU$13))/14</f>
        <v>0.528571428571429</v>
      </c>
      <c r="P18" s="2" t="n">
        <f aca="false">1-SUMPRODUCT(ABS(Ongebruikt!$AH$18:$AU$18-Gebruikt!$AH$14:$AU$14))/14</f>
        <v>0.828571428571429</v>
      </c>
      <c r="Q18" s="2" t="n">
        <f aca="false">1-SUMPRODUCT(ABS(Ongebruikt!$AH$18:$AU$18-Gebruikt!$AH$15:$AU$15))/14</f>
        <v>0.9</v>
      </c>
      <c r="R18" s="2" t="n">
        <f aca="false">1-SUMPRODUCT(ABS(Ongebruikt!$AH$18:$AU$18-Gebruikt!$AH$16:$AU$16))/14</f>
        <v>0.9</v>
      </c>
      <c r="S18" s="2" t="n">
        <f aca="false">1-SUMPRODUCT(ABS(Ongebruikt!$AH$18:$AU$18-Gebruikt!$AH$17:$AU$17))/14</f>
        <v>0.721428571428571</v>
      </c>
      <c r="T18" s="2" t="n">
        <f aca="false">1-SUMPRODUCT(ABS(Ongebruikt!$AH$18:$AU$18-Gebruikt!$AH$18:$AU$18))/14</f>
        <v>0.5</v>
      </c>
      <c r="U18" s="2" t="n">
        <f aca="false">1-SUMPRODUCT(ABS(Ongebruikt!$AH$18:$AU$18-Gebruikt!$AH$19:$AU$19))/14</f>
        <v>0.585714285714286</v>
      </c>
      <c r="V18" s="2" t="n">
        <f aca="false">1-SUMPRODUCT(ABS(Ongebruikt!$AH$18:$AU$18-Gebruikt!$AH$20:$AU$20))/14</f>
        <v>0.757142857142857</v>
      </c>
      <c r="W18" s="2" t="n">
        <f aca="false">1-SUMPRODUCT(ABS(Ongebruikt!$AH$18:$AU$18-Gebruikt!$AH$21:$AU$21))/14</f>
        <v>0.871428571428571</v>
      </c>
      <c r="X18" s="2" t="n">
        <f aca="false">1-SUMPRODUCT(ABS(Ongebruikt!$AH$18:$AU$18-Gebruikt!$AH$22:$AU$22))/14</f>
        <v>0.592857142857143</v>
      </c>
      <c r="Y18" s="2" t="n">
        <f aca="false">1-SUMPRODUCT(ABS(Ongebruikt!$AH$18:$AU$18-Gebruikt!$AH$23:$AU$23))/14</f>
        <v>0.835714285714286</v>
      </c>
      <c r="Z18" s="2" t="n">
        <f aca="false">1-SUMPRODUCT(ABS(Ongebruikt!$AH$18:$AU$18-Gebruikt!$AH$24:$AU$24))/14</f>
        <v>0.835714285714286</v>
      </c>
      <c r="AA18" s="2" t="n">
        <f aca="false">1-SUMPRODUCT(ABS(Ongebruikt!$AH$18:$AU$18-Gebruikt!$AH$25:$AU$25))/14</f>
        <v>0.671428571428572</v>
      </c>
      <c r="AB18" s="2" t="n">
        <f aca="false">1-SUMPRODUCT(ABS(Ongebruikt!$AH$18:$AU$18-Gebruikt!$AH$26:$AU$26))/14</f>
        <v>0.528571428571429</v>
      </c>
      <c r="AC18" s="2" t="n">
        <f aca="false">1-SUMPRODUCT(ABS(Ongebruikt!$AH$18:$AU$18-Gebruikt!$AH$27:$AU$27))/14</f>
        <v>0.6</v>
      </c>
      <c r="AD18" s="2" t="n">
        <f aca="false">1-SUMPRODUCT(ABS(Ongebruikt!$AH$18:$AU$18-Gebruikt!$AH$28:$AU$28))/14</f>
        <v>0.528571428571429</v>
      </c>
      <c r="AE18" s="2" t="n">
        <f aca="false">1-SUMPRODUCT(ABS(Ongebruikt!$AH$18:$AU$18-Gebruikt!$AH$29:$AU$29))/14</f>
        <v>0.692857142857143</v>
      </c>
      <c r="AF18" s="2" t="n">
        <f aca="false">1-SUMPRODUCT(ABS(Ongebruikt!$AH$18:$AU$18-Gebruikt!$AH$30:$AU$30))/14</f>
        <v>0.664285714285714</v>
      </c>
      <c r="AG18" s="2" t="n">
        <f aca="false">1-SUMPRODUCT(ABS(Ongebruikt!$AH$18:$AU$18-Gebruikt!$AH$31:$AU$31))/14</f>
        <v>0.571428571428571</v>
      </c>
      <c r="AH18" s="2" t="n">
        <f aca="false">1-SUMPRODUCT(ABS(Ongebruikt!$AH$18:$AU$18-Gebruikt!$AH$32:$AU$32))/14</f>
        <v>0.5</v>
      </c>
      <c r="AI18" s="2" t="n">
        <f aca="false">1-SUMPRODUCT(ABS(Ongebruikt!$AH$18:$AU$18-Gebruikt!$AH$33:$AU$33))/14</f>
        <v>0.692857142857143</v>
      </c>
      <c r="AJ18" s="2" t="n">
        <f aca="false">1-SUMPRODUCT(ABS(Ongebruikt!$AH$18:$AU$18-Gebruikt!$AH$34:$AU$34))/14</f>
        <v>0.871428571428571</v>
      </c>
      <c r="AK18" s="2" t="n">
        <f aca="false">1-SUMPRODUCT(ABS(Ongebruikt!$AH$18:$AU$18-Gebruikt!$AH$35:$AU$35))/14</f>
        <v>0.835714285714286</v>
      </c>
      <c r="AL18" s="2" t="n">
        <f aca="false">1-SUMPRODUCT(ABS(Ongebruikt!$AH$18:$AU$18-Gebruikt!$AH$36:$AU$36))/14</f>
        <v>0.571428571428571</v>
      </c>
      <c r="AM18" s="2" t="n">
        <f aca="false">1-SUMPRODUCT(ABS(Ongebruikt!$AH$18:$AU$18-Gebruikt!$AH$37:$AU$37))/14</f>
        <v>0.428571428571429</v>
      </c>
      <c r="AN18" s="2" t="n">
        <f aca="false">1-SUMPRODUCT(ABS(Ongebruikt!$AH$18:$AU$18-Gebruikt!$AH$38:$AU$38))/14</f>
        <v>0.692857142857143</v>
      </c>
      <c r="AO18" s="2" t="n">
        <f aca="false">1-SUMPRODUCT(ABS(Ongebruikt!$AH$18:$AU$18-Gebruikt!$AH$39:$AU$39))/14</f>
        <v>0.442857142857143</v>
      </c>
      <c r="AP18" s="2" t="n">
        <f aca="false">1-SUMPRODUCT(ABS(Ongebruikt!$AH$18:$AU$18-Gebruikt!$AH$40:$AU$40))/14</f>
        <v>0.757142857142857</v>
      </c>
      <c r="AQ18" s="2" t="n">
        <f aca="false">1-SUMPRODUCT(ABS(Ongebruikt!$AH$18:$AU$18-Gebruikt!$AH$41:$AU$41))/14</f>
        <v>0.735714285714286</v>
      </c>
      <c r="AR18" s="2" t="n">
        <f aca="false">1-SUMPRODUCT(ABS(Ongebruikt!$AH$18:$AU$18-Gebruikt!$AH$42:$AU$42))/14</f>
        <v>0.757142857142857</v>
      </c>
      <c r="AS18" s="2" t="n">
        <f aca="false">1-SUMPRODUCT(ABS(Ongebruikt!$AH$18:$AU$18-Gebruikt!$AH$43:$AU$43))/14</f>
        <v>0.721428571428571</v>
      </c>
      <c r="AT18" s="2" t="n">
        <f aca="false">1-SUMPRODUCT(ABS(Ongebruikt!$AH$18:$AU$18-Gebruikt!$AH$44:$AU$44))/14</f>
        <v>0.864285714285714</v>
      </c>
      <c r="AU18" s="2" t="n">
        <f aca="false">1-SUMPRODUCT(ABS(Ongebruikt!$AH$18:$AU$18-Gebruikt!$AH$45:$AU$45))/14</f>
        <v>0.721428571428571</v>
      </c>
      <c r="AV18" s="2" t="n">
        <f aca="false">1-SUMPRODUCT(ABS(Ongebruikt!$AH$18:$AU$18-Gebruikt!$AH$46:$AU$46))/14</f>
        <v>0.735714285714286</v>
      </c>
      <c r="AW18" s="2" t="n">
        <f aca="false">1-SUMPRODUCT(ABS(Ongebruikt!$AH$18:$AU$18-Gebruikt!$AH$47:$AU$47))/14</f>
        <v>0.757142857142857</v>
      </c>
      <c r="AX18" s="2" t="n">
        <f aca="false">1-SUMPRODUCT(ABS(Ongebruikt!$AH$18:$AU$18-Gebruikt!$AH$48:$AU$48))/14</f>
        <v>0.721428571428571</v>
      </c>
    </row>
    <row r="19" customFormat="false" ht="15" hidden="false" customHeight="false" outlineLevel="0" collapsed="false">
      <c r="A19" s="8" t="str">
        <f aca="false">Ongebruikt!A19</f>
        <v>U16</v>
      </c>
      <c r="B19" s="8" t="str">
        <f aca="false">Ongebruikt!B19</f>
        <v>Regev multidimensional algorithm</v>
      </c>
      <c r="C19" s="2" t="n">
        <f aca="false">1-D19</f>
        <v>0.1</v>
      </c>
      <c r="D19" s="2" t="n">
        <f aca="false">MAX(F19:AX19)</f>
        <v>0.9</v>
      </c>
      <c r="E19" s="2" t="str">
        <f aca="false">INDEX(Gebruikt!$B$4:$B$48,MATCH(D19,F19:AX19,0))</f>
        <v>(r,s) cswap boundary merge</v>
      </c>
      <c r="F19" s="2" t="n">
        <f aca="false">1-SUMPRODUCT(ABS(Ongebruikt!$AH$19:$AU$19-Gebruikt!$AH$4:$AU$4))/14</f>
        <v>0.528571428571429</v>
      </c>
      <c r="G19" s="2" t="n">
        <f aca="false">1-SUMPRODUCT(ABS(Ongebruikt!$AH$19:$AU$19-Gebruikt!$AH$5:$AU$5))/14</f>
        <v>0.9</v>
      </c>
      <c r="H19" s="2" t="n">
        <f aca="false">1-SUMPRODUCT(ABS(Ongebruikt!$AH$19:$AU$19-Gebruikt!$AH$6:$AU$6))/14</f>
        <v>0.9</v>
      </c>
      <c r="I19" s="2" t="n">
        <f aca="false">1-SUMPRODUCT(ABS(Ongebruikt!$AH$19:$AU$19-Gebruikt!$AH$7:$AU$7))/14</f>
        <v>0.685714285714286</v>
      </c>
      <c r="J19" s="2" t="n">
        <f aca="false">1-SUMPRODUCT(ABS(Ongebruikt!$AH$19:$AU$19-Gebruikt!$AH$8:$AU$8))/14</f>
        <v>0.864285714285714</v>
      </c>
      <c r="K19" s="2" t="n">
        <f aca="false">1-SUMPRODUCT(ABS(Ongebruikt!$AH$19:$AU$19-Gebruikt!$AH$9:$AU$9))/14</f>
        <v>0.757142857142857</v>
      </c>
      <c r="L19" s="2" t="n">
        <f aca="false">1-SUMPRODUCT(ABS(Ongebruikt!$AH$19:$AU$19-Gebruikt!$AH$10:$AU$10))/14</f>
        <v>0.757142857142857</v>
      </c>
      <c r="M19" s="2" t="n">
        <f aca="false">1-SUMPRODUCT(ABS(Ongebruikt!$AH$19:$AU$19-Gebruikt!$AH$11:$AU$11))/14</f>
        <v>0.757142857142857</v>
      </c>
      <c r="N19" s="2" t="n">
        <f aca="false">1-SUMPRODUCT(ABS(Ongebruikt!$AH$19:$AU$19-Gebruikt!$AH$12:$AU$12))/14</f>
        <v>0.65</v>
      </c>
      <c r="O19" s="2" t="n">
        <f aca="false">1-SUMPRODUCT(ABS(Ongebruikt!$AH$19:$AU$19-Gebruikt!$AH$13:$AU$13))/14</f>
        <v>0.528571428571429</v>
      </c>
      <c r="P19" s="2" t="n">
        <f aca="false">1-SUMPRODUCT(ABS(Ongebruikt!$AH$19:$AU$19-Gebruikt!$AH$14:$AU$14))/14</f>
        <v>0.828571428571429</v>
      </c>
      <c r="Q19" s="2" t="n">
        <f aca="false">1-SUMPRODUCT(ABS(Ongebruikt!$AH$19:$AU$19-Gebruikt!$AH$15:$AU$15))/14</f>
        <v>0.9</v>
      </c>
      <c r="R19" s="2" t="n">
        <f aca="false">1-SUMPRODUCT(ABS(Ongebruikt!$AH$19:$AU$19-Gebruikt!$AH$16:$AU$16))/14</f>
        <v>0.9</v>
      </c>
      <c r="S19" s="2" t="n">
        <f aca="false">1-SUMPRODUCT(ABS(Ongebruikt!$AH$19:$AU$19-Gebruikt!$AH$17:$AU$17))/14</f>
        <v>0.721428571428571</v>
      </c>
      <c r="T19" s="2" t="n">
        <f aca="false">1-SUMPRODUCT(ABS(Ongebruikt!$AH$19:$AU$19-Gebruikt!$AH$18:$AU$18))/14</f>
        <v>0.528571428571429</v>
      </c>
      <c r="U19" s="2" t="n">
        <f aca="false">1-SUMPRODUCT(ABS(Ongebruikt!$AH$19:$AU$19-Gebruikt!$AH$19:$AU$19))/14</f>
        <v>0.614285714285714</v>
      </c>
      <c r="V19" s="2" t="n">
        <f aca="false">1-SUMPRODUCT(ABS(Ongebruikt!$AH$19:$AU$19-Gebruikt!$AH$20:$AU$20))/14</f>
        <v>0.757142857142857</v>
      </c>
      <c r="W19" s="2" t="n">
        <f aca="false">1-SUMPRODUCT(ABS(Ongebruikt!$AH$19:$AU$19-Gebruikt!$AH$21:$AU$21))/14</f>
        <v>0.9</v>
      </c>
      <c r="X19" s="2" t="n">
        <f aca="false">1-SUMPRODUCT(ABS(Ongebruikt!$AH$19:$AU$19-Gebruikt!$AH$22:$AU$22))/14</f>
        <v>0.535714285714286</v>
      </c>
      <c r="Y19" s="2" t="n">
        <f aca="false">1-SUMPRODUCT(ABS(Ongebruikt!$AH$19:$AU$19-Gebruikt!$AH$23:$AU$23))/14</f>
        <v>0.864285714285714</v>
      </c>
      <c r="Z19" s="2" t="n">
        <f aca="false">1-SUMPRODUCT(ABS(Ongebruikt!$AH$19:$AU$19-Gebruikt!$AH$24:$AU$24))/14</f>
        <v>0.864285714285714</v>
      </c>
      <c r="AA19" s="2" t="n">
        <f aca="false">1-SUMPRODUCT(ABS(Ongebruikt!$AH$19:$AU$19-Gebruikt!$AH$25:$AU$25))/14</f>
        <v>0.642857142857143</v>
      </c>
      <c r="AB19" s="2" t="n">
        <f aca="false">1-SUMPRODUCT(ABS(Ongebruikt!$AH$19:$AU$19-Gebruikt!$AH$26:$AU$26))/14</f>
        <v>0.5</v>
      </c>
      <c r="AC19" s="2" t="n">
        <f aca="false">1-SUMPRODUCT(ABS(Ongebruikt!$AH$19:$AU$19-Gebruikt!$AH$27:$AU$27))/14</f>
        <v>0.6</v>
      </c>
      <c r="AD19" s="2" t="n">
        <f aca="false">1-SUMPRODUCT(ABS(Ongebruikt!$AH$19:$AU$19-Gebruikt!$AH$28:$AU$28))/14</f>
        <v>0.528571428571429</v>
      </c>
      <c r="AE19" s="2" t="n">
        <f aca="false">1-SUMPRODUCT(ABS(Ongebruikt!$AH$19:$AU$19-Gebruikt!$AH$29:$AU$29))/14</f>
        <v>0.721428571428571</v>
      </c>
      <c r="AF19" s="2" t="n">
        <f aca="false">1-SUMPRODUCT(ABS(Ongebruikt!$AH$19:$AU$19-Gebruikt!$AH$30:$AU$30))/14</f>
        <v>0.635714285714286</v>
      </c>
      <c r="AG19" s="2" t="n">
        <f aca="false">1-SUMPRODUCT(ABS(Ongebruikt!$AH$19:$AU$19-Gebruikt!$AH$31:$AU$31))/14</f>
        <v>0.6</v>
      </c>
      <c r="AH19" s="2" t="n">
        <f aca="false">1-SUMPRODUCT(ABS(Ongebruikt!$AH$19:$AU$19-Gebruikt!$AH$32:$AU$32))/14</f>
        <v>0.528571428571429</v>
      </c>
      <c r="AI19" s="2" t="n">
        <f aca="false">1-SUMPRODUCT(ABS(Ongebruikt!$AH$19:$AU$19-Gebruikt!$AH$33:$AU$33))/14</f>
        <v>0.721428571428571</v>
      </c>
      <c r="AJ19" s="2" t="n">
        <f aca="false">1-SUMPRODUCT(ABS(Ongebruikt!$AH$19:$AU$19-Gebruikt!$AH$34:$AU$34))/14</f>
        <v>0.9</v>
      </c>
      <c r="AK19" s="2" t="n">
        <f aca="false">1-SUMPRODUCT(ABS(Ongebruikt!$AH$19:$AU$19-Gebruikt!$AH$35:$AU$35))/14</f>
        <v>0.864285714285714</v>
      </c>
      <c r="AL19" s="2" t="n">
        <f aca="false">1-SUMPRODUCT(ABS(Ongebruikt!$AH$19:$AU$19-Gebruikt!$AH$36:$AU$36))/14</f>
        <v>0.6</v>
      </c>
      <c r="AM19" s="2" t="n">
        <f aca="false">1-SUMPRODUCT(ABS(Ongebruikt!$AH$19:$AU$19-Gebruikt!$AH$37:$AU$37))/14</f>
        <v>0.457142857142857</v>
      </c>
      <c r="AN19" s="2" t="n">
        <f aca="false">1-SUMPRODUCT(ABS(Ongebruikt!$AH$19:$AU$19-Gebruikt!$AH$38:$AU$38))/14</f>
        <v>0.721428571428571</v>
      </c>
      <c r="AO19" s="2" t="n">
        <f aca="false">1-SUMPRODUCT(ABS(Ongebruikt!$AH$19:$AU$19-Gebruikt!$AH$39:$AU$39))/14</f>
        <v>0.471428571428571</v>
      </c>
      <c r="AP19" s="2" t="n">
        <f aca="false">1-SUMPRODUCT(ABS(Ongebruikt!$AH$19:$AU$19-Gebruikt!$AH$40:$AU$40))/14</f>
        <v>0.757142857142857</v>
      </c>
      <c r="AQ19" s="2" t="n">
        <f aca="false">1-SUMPRODUCT(ABS(Ongebruikt!$AH$19:$AU$19-Gebruikt!$AH$41:$AU$41))/14</f>
        <v>0.707142857142857</v>
      </c>
      <c r="AR19" s="2" t="n">
        <f aca="false">1-SUMPRODUCT(ABS(Ongebruikt!$AH$19:$AU$19-Gebruikt!$AH$42:$AU$42))/14</f>
        <v>0.757142857142857</v>
      </c>
      <c r="AS19" s="2" t="n">
        <f aca="false">1-SUMPRODUCT(ABS(Ongebruikt!$AH$19:$AU$19-Gebruikt!$AH$43:$AU$43))/14</f>
        <v>0.721428571428571</v>
      </c>
      <c r="AT19" s="2" t="n">
        <f aca="false">1-SUMPRODUCT(ABS(Ongebruikt!$AH$19:$AU$19-Gebruikt!$AH$44:$AU$44))/14</f>
        <v>0.864285714285714</v>
      </c>
      <c r="AU19" s="2" t="n">
        <f aca="false">1-SUMPRODUCT(ABS(Ongebruikt!$AH$19:$AU$19-Gebruikt!$AH$45:$AU$45))/14</f>
        <v>0.721428571428571</v>
      </c>
      <c r="AV19" s="2" t="n">
        <f aca="false">1-SUMPRODUCT(ABS(Ongebruikt!$AH$19:$AU$19-Gebruikt!$AH$46:$AU$46))/14</f>
        <v>0.678571428571429</v>
      </c>
      <c r="AW19" s="2" t="n">
        <f aca="false">1-SUMPRODUCT(ABS(Ongebruikt!$AH$19:$AU$19-Gebruikt!$AH$47:$AU$47))/14</f>
        <v>0.757142857142857</v>
      </c>
      <c r="AX19" s="2" t="n">
        <f aca="false">1-SUMPRODUCT(ABS(Ongebruikt!$AH$19:$AU$19-Gebruikt!$AH$48:$AU$48))/14</f>
        <v>0.721428571428571</v>
      </c>
    </row>
    <row r="20" customFormat="false" ht="15" hidden="false" customHeight="false" outlineLevel="0" collapsed="false">
      <c r="A20" s="8" t="str">
        <f aca="false">Ongebruikt!A20</f>
        <v>U17</v>
      </c>
      <c r="B20" s="8" t="str">
        <f aca="false">Ongebruikt!B20</f>
        <v>x-only / Montgomery-ladder differential addition</v>
      </c>
      <c r="C20" s="2" t="n">
        <f aca="false">1-D20</f>
        <v>0.1</v>
      </c>
      <c r="D20" s="2" t="n">
        <f aca="false">MAX(F20:AX20)</f>
        <v>0.9</v>
      </c>
      <c r="E20" s="2" t="str">
        <f aca="false">INDEX(Gebruikt!$B$4:$B$48,MATCH(D20,F20:AX20,0))</f>
        <v>(r,s) cswap boundary merge</v>
      </c>
      <c r="F20" s="2" t="n">
        <f aca="false">1-SUMPRODUCT(ABS(Ongebruikt!$AH$20:$AU$20-Gebruikt!$AH$4:$AU$4))/14</f>
        <v>0.671428571428572</v>
      </c>
      <c r="G20" s="2" t="n">
        <f aca="false">1-SUMPRODUCT(ABS(Ongebruikt!$AH$20:$AU$20-Gebruikt!$AH$5:$AU$5))/14</f>
        <v>0.9</v>
      </c>
      <c r="H20" s="2" t="n">
        <f aca="false">1-SUMPRODUCT(ABS(Ongebruikt!$AH$20:$AU$20-Gebruikt!$AH$6:$AU$6))/14</f>
        <v>0.9</v>
      </c>
      <c r="I20" s="2" t="n">
        <f aca="false">1-SUMPRODUCT(ABS(Ongebruikt!$AH$20:$AU$20-Gebruikt!$AH$7:$AU$7))/14</f>
        <v>0.685714285714286</v>
      </c>
      <c r="J20" s="2" t="n">
        <f aca="false">1-SUMPRODUCT(ABS(Ongebruikt!$AH$20:$AU$20-Gebruikt!$AH$8:$AU$8))/14</f>
        <v>0.864285714285714</v>
      </c>
      <c r="K20" s="2" t="n">
        <f aca="false">1-SUMPRODUCT(ABS(Ongebruikt!$AH$20:$AU$20-Gebruikt!$AH$9:$AU$9))/14</f>
        <v>0.728571428571429</v>
      </c>
      <c r="L20" s="2" t="n">
        <f aca="false">1-SUMPRODUCT(ABS(Ongebruikt!$AH$20:$AU$20-Gebruikt!$AH$10:$AU$10))/14</f>
        <v>0.728571428571429</v>
      </c>
      <c r="M20" s="2" t="n">
        <f aca="false">1-SUMPRODUCT(ABS(Ongebruikt!$AH$20:$AU$20-Gebruikt!$AH$11:$AU$11))/14</f>
        <v>0.728571428571429</v>
      </c>
      <c r="N20" s="2" t="n">
        <f aca="false">1-SUMPRODUCT(ABS(Ongebruikt!$AH$20:$AU$20-Gebruikt!$AH$12:$AU$12))/14</f>
        <v>0.621428571428571</v>
      </c>
      <c r="O20" s="2" t="n">
        <f aca="false">1-SUMPRODUCT(ABS(Ongebruikt!$AH$20:$AU$20-Gebruikt!$AH$13:$AU$13))/14</f>
        <v>0.671428571428572</v>
      </c>
      <c r="P20" s="2" t="n">
        <f aca="false">1-SUMPRODUCT(ABS(Ongebruikt!$AH$20:$AU$20-Gebruikt!$AH$14:$AU$14))/14</f>
        <v>0.8</v>
      </c>
      <c r="Q20" s="2" t="n">
        <f aca="false">1-SUMPRODUCT(ABS(Ongebruikt!$AH$20:$AU$20-Gebruikt!$AH$15:$AU$15))/14</f>
        <v>0.871428571428571</v>
      </c>
      <c r="R20" s="2" t="n">
        <f aca="false">1-SUMPRODUCT(ABS(Ongebruikt!$AH$20:$AU$20-Gebruikt!$AH$16:$AU$16))/14</f>
        <v>0.871428571428571</v>
      </c>
      <c r="S20" s="2" t="n">
        <f aca="false">1-SUMPRODUCT(ABS(Ongebruikt!$AH$20:$AU$20-Gebruikt!$AH$17:$AU$17))/14</f>
        <v>0.692857142857143</v>
      </c>
      <c r="T20" s="2" t="n">
        <f aca="false">1-SUMPRODUCT(ABS(Ongebruikt!$AH$20:$AU$20-Gebruikt!$AH$18:$AU$18))/14</f>
        <v>0.671428571428572</v>
      </c>
      <c r="U20" s="2" t="n">
        <f aca="false">1-SUMPRODUCT(ABS(Ongebruikt!$AH$20:$AU$20-Gebruikt!$AH$19:$AU$19))/14</f>
        <v>0.757142857142857</v>
      </c>
      <c r="V20" s="2" t="n">
        <f aca="false">1-SUMPRODUCT(ABS(Ongebruikt!$AH$20:$AU$20-Gebruikt!$AH$20:$AU$20))/14</f>
        <v>0.728571428571429</v>
      </c>
      <c r="W20" s="2" t="n">
        <f aca="false">1-SUMPRODUCT(ABS(Ongebruikt!$AH$20:$AU$20-Gebruikt!$AH$21:$AU$21))/14</f>
        <v>0.9</v>
      </c>
      <c r="X20" s="2" t="n">
        <f aca="false">1-SUMPRODUCT(ABS(Ongebruikt!$AH$20:$AU$20-Gebruikt!$AH$22:$AU$22))/14</f>
        <v>0.678571428571429</v>
      </c>
      <c r="Y20" s="2" t="n">
        <f aca="false">1-SUMPRODUCT(ABS(Ongebruikt!$AH$20:$AU$20-Gebruikt!$AH$23:$AU$23))/14</f>
        <v>0.864285714285714</v>
      </c>
      <c r="Z20" s="2" t="n">
        <f aca="false">1-SUMPRODUCT(ABS(Ongebruikt!$AH$20:$AU$20-Gebruikt!$AH$24:$AU$24))/14</f>
        <v>0.864285714285714</v>
      </c>
      <c r="AA20" s="2" t="n">
        <f aca="false">1-SUMPRODUCT(ABS(Ongebruikt!$AH$20:$AU$20-Gebruikt!$AH$25:$AU$25))/14</f>
        <v>0.785714285714286</v>
      </c>
      <c r="AB20" s="2" t="n">
        <f aca="false">1-SUMPRODUCT(ABS(Ongebruikt!$AH$20:$AU$20-Gebruikt!$AH$26:$AU$26))/14</f>
        <v>0.642857142857143</v>
      </c>
      <c r="AC20" s="2" t="n">
        <f aca="false">1-SUMPRODUCT(ABS(Ongebruikt!$AH$20:$AU$20-Gebruikt!$AH$27:$AU$27))/14</f>
        <v>0.742857142857143</v>
      </c>
      <c r="AD20" s="2" t="n">
        <f aca="false">1-SUMPRODUCT(ABS(Ongebruikt!$AH$20:$AU$20-Gebruikt!$AH$28:$AU$28))/14</f>
        <v>0.671428571428572</v>
      </c>
      <c r="AE20" s="2" t="n">
        <f aca="false">1-SUMPRODUCT(ABS(Ongebruikt!$AH$20:$AU$20-Gebruikt!$AH$29:$AU$29))/14</f>
        <v>0.721428571428571</v>
      </c>
      <c r="AF20" s="2" t="n">
        <f aca="false">1-SUMPRODUCT(ABS(Ongebruikt!$AH$20:$AU$20-Gebruikt!$AH$30:$AU$30))/14</f>
        <v>0.607142857142857</v>
      </c>
      <c r="AG20" s="2" t="n">
        <f aca="false">1-SUMPRODUCT(ABS(Ongebruikt!$AH$20:$AU$20-Gebruikt!$AH$31:$AU$31))/14</f>
        <v>0.742857142857143</v>
      </c>
      <c r="AH20" s="2" t="n">
        <f aca="false">1-SUMPRODUCT(ABS(Ongebruikt!$AH$20:$AU$20-Gebruikt!$AH$32:$AU$32))/14</f>
        <v>0.671428571428572</v>
      </c>
      <c r="AI20" s="2" t="n">
        <f aca="false">1-SUMPRODUCT(ABS(Ongebruikt!$AH$20:$AU$20-Gebruikt!$AH$33:$AU$33))/14</f>
        <v>0.721428571428571</v>
      </c>
      <c r="AJ20" s="2" t="n">
        <f aca="false">1-SUMPRODUCT(ABS(Ongebruikt!$AH$20:$AU$20-Gebruikt!$AH$34:$AU$34))/14</f>
        <v>0.9</v>
      </c>
      <c r="AK20" s="2" t="n">
        <f aca="false">1-SUMPRODUCT(ABS(Ongebruikt!$AH$20:$AU$20-Gebruikt!$AH$35:$AU$35))/14</f>
        <v>0.864285714285714</v>
      </c>
      <c r="AL20" s="2" t="n">
        <f aca="false">1-SUMPRODUCT(ABS(Ongebruikt!$AH$20:$AU$20-Gebruikt!$AH$36:$AU$36))/14</f>
        <v>0.742857142857143</v>
      </c>
      <c r="AM20" s="2" t="n">
        <f aca="false">1-SUMPRODUCT(ABS(Ongebruikt!$AH$20:$AU$20-Gebruikt!$AH$37:$AU$37))/14</f>
        <v>0.6</v>
      </c>
      <c r="AN20" s="2" t="n">
        <f aca="false">1-SUMPRODUCT(ABS(Ongebruikt!$AH$20:$AU$20-Gebruikt!$AH$38:$AU$38))/14</f>
        <v>0.721428571428571</v>
      </c>
      <c r="AO20" s="2" t="n">
        <f aca="false">1-SUMPRODUCT(ABS(Ongebruikt!$AH$20:$AU$20-Gebruikt!$AH$39:$AU$39))/14</f>
        <v>0.614285714285714</v>
      </c>
      <c r="AP20" s="2" t="n">
        <f aca="false">1-SUMPRODUCT(ABS(Ongebruikt!$AH$20:$AU$20-Gebruikt!$AH$40:$AU$40))/14</f>
        <v>0.728571428571429</v>
      </c>
      <c r="AQ20" s="2" t="n">
        <f aca="false">1-SUMPRODUCT(ABS(Ongebruikt!$AH$20:$AU$20-Gebruikt!$AH$41:$AU$41))/14</f>
        <v>0.678571428571429</v>
      </c>
      <c r="AR20" s="2" t="n">
        <f aca="false">1-SUMPRODUCT(ABS(Ongebruikt!$AH$20:$AU$20-Gebruikt!$AH$42:$AU$42))/14</f>
        <v>0.728571428571429</v>
      </c>
      <c r="AS20" s="2" t="n">
        <f aca="false">1-SUMPRODUCT(ABS(Ongebruikt!$AH$20:$AU$20-Gebruikt!$AH$43:$AU$43))/14</f>
        <v>0.692857142857143</v>
      </c>
      <c r="AT20" s="2" t="n">
        <f aca="false">1-SUMPRODUCT(ABS(Ongebruikt!$AH$20:$AU$20-Gebruikt!$AH$44:$AU$44))/14</f>
        <v>0.835714285714286</v>
      </c>
      <c r="AU20" s="2" t="n">
        <f aca="false">1-SUMPRODUCT(ABS(Ongebruikt!$AH$20:$AU$20-Gebruikt!$AH$45:$AU$45))/14</f>
        <v>0.692857142857143</v>
      </c>
      <c r="AV20" s="2" t="n">
        <f aca="false">1-SUMPRODUCT(ABS(Ongebruikt!$AH$20:$AU$20-Gebruikt!$AH$46:$AU$46))/14</f>
        <v>0.821428571428571</v>
      </c>
      <c r="AW20" s="2" t="n">
        <f aca="false">1-SUMPRODUCT(ABS(Ongebruikt!$AH$20:$AU$20-Gebruikt!$AH$47:$AU$47))/14</f>
        <v>0.728571428571429</v>
      </c>
      <c r="AX20" s="2" t="n">
        <f aca="false">1-SUMPRODUCT(ABS(Ongebruikt!$AH$20:$AU$20-Gebruikt!$AH$48:$AU$48))/14</f>
        <v>0.692857142857143</v>
      </c>
    </row>
    <row r="21" customFormat="false" ht="15" hidden="false" customHeight="false" outlineLevel="0" collapsed="false">
      <c r="A21" s="8" t="str">
        <f aca="false">Ongebruikt!A21</f>
        <v>U18</v>
      </c>
      <c r="B21" s="8" t="str">
        <f aca="false">Ongebruikt!B21</f>
        <v>Projective / Jacobian coordinates</v>
      </c>
      <c r="C21" s="2" t="n">
        <f aca="false">1-D21</f>
        <v>0.1</v>
      </c>
      <c r="D21" s="2" t="n">
        <f aca="false">MAX(F21:AX21)</f>
        <v>0.9</v>
      </c>
      <c r="E21" s="2" t="str">
        <f aca="false">INDEX(Gebruikt!$B$4:$B$48,MATCH(D21,F21:AX21,0))</f>
        <v>(r,s) cswap boundary merge</v>
      </c>
      <c r="F21" s="2" t="n">
        <f aca="false">1-SUMPRODUCT(ABS(Ongebruikt!$AH$21:$AU$21-Gebruikt!$AH$4:$AU$4))/14</f>
        <v>0.671428571428572</v>
      </c>
      <c r="G21" s="2" t="n">
        <f aca="false">1-SUMPRODUCT(ABS(Ongebruikt!$AH$21:$AU$21-Gebruikt!$AH$5:$AU$5))/14</f>
        <v>0.9</v>
      </c>
      <c r="H21" s="2" t="n">
        <f aca="false">1-SUMPRODUCT(ABS(Ongebruikt!$AH$21:$AU$21-Gebruikt!$AH$6:$AU$6))/14</f>
        <v>0.9</v>
      </c>
      <c r="I21" s="2" t="n">
        <f aca="false">1-SUMPRODUCT(ABS(Ongebruikt!$AH$21:$AU$21-Gebruikt!$AH$7:$AU$7))/14</f>
        <v>0.685714285714286</v>
      </c>
      <c r="J21" s="2" t="n">
        <f aca="false">1-SUMPRODUCT(ABS(Ongebruikt!$AH$21:$AU$21-Gebruikt!$AH$8:$AU$8))/14</f>
        <v>0.864285714285714</v>
      </c>
      <c r="K21" s="2" t="n">
        <f aca="false">1-SUMPRODUCT(ABS(Ongebruikt!$AH$21:$AU$21-Gebruikt!$AH$9:$AU$9))/14</f>
        <v>0.728571428571429</v>
      </c>
      <c r="L21" s="2" t="n">
        <f aca="false">1-SUMPRODUCT(ABS(Ongebruikt!$AH$21:$AU$21-Gebruikt!$AH$10:$AU$10))/14</f>
        <v>0.728571428571429</v>
      </c>
      <c r="M21" s="2" t="n">
        <f aca="false">1-SUMPRODUCT(ABS(Ongebruikt!$AH$21:$AU$21-Gebruikt!$AH$11:$AU$11))/14</f>
        <v>0.728571428571429</v>
      </c>
      <c r="N21" s="2" t="n">
        <f aca="false">1-SUMPRODUCT(ABS(Ongebruikt!$AH$21:$AU$21-Gebruikt!$AH$12:$AU$12))/14</f>
        <v>0.621428571428571</v>
      </c>
      <c r="O21" s="2" t="n">
        <f aca="false">1-SUMPRODUCT(ABS(Ongebruikt!$AH$21:$AU$21-Gebruikt!$AH$13:$AU$13))/14</f>
        <v>0.7</v>
      </c>
      <c r="P21" s="2" t="n">
        <f aca="false">1-SUMPRODUCT(ABS(Ongebruikt!$AH$21:$AU$21-Gebruikt!$AH$14:$AU$14))/14</f>
        <v>0.8</v>
      </c>
      <c r="Q21" s="2" t="n">
        <f aca="false">1-SUMPRODUCT(ABS(Ongebruikt!$AH$21:$AU$21-Gebruikt!$AH$15:$AU$15))/14</f>
        <v>0.871428571428571</v>
      </c>
      <c r="R21" s="2" t="n">
        <f aca="false">1-SUMPRODUCT(ABS(Ongebruikt!$AH$21:$AU$21-Gebruikt!$AH$16:$AU$16))/14</f>
        <v>0.871428571428571</v>
      </c>
      <c r="S21" s="2" t="n">
        <f aca="false">1-SUMPRODUCT(ABS(Ongebruikt!$AH$21:$AU$21-Gebruikt!$AH$17:$AU$17))/14</f>
        <v>0.721428571428571</v>
      </c>
      <c r="T21" s="2" t="n">
        <f aca="false">1-SUMPRODUCT(ABS(Ongebruikt!$AH$21:$AU$21-Gebruikt!$AH$18:$AU$18))/14</f>
        <v>0.671428571428572</v>
      </c>
      <c r="U21" s="2" t="n">
        <f aca="false">1-SUMPRODUCT(ABS(Ongebruikt!$AH$21:$AU$21-Gebruikt!$AH$19:$AU$19))/14</f>
        <v>0.757142857142857</v>
      </c>
      <c r="V21" s="2" t="n">
        <f aca="false">1-SUMPRODUCT(ABS(Ongebruikt!$AH$21:$AU$21-Gebruikt!$AH$20:$AU$20))/14</f>
        <v>0.728571428571429</v>
      </c>
      <c r="W21" s="2" t="n">
        <f aca="false">1-SUMPRODUCT(ABS(Ongebruikt!$AH$21:$AU$21-Gebruikt!$AH$21:$AU$21))/14</f>
        <v>0.9</v>
      </c>
      <c r="X21" s="2" t="n">
        <f aca="false">1-SUMPRODUCT(ABS(Ongebruikt!$AH$21:$AU$21-Gebruikt!$AH$22:$AU$22))/14</f>
        <v>0.735714285714286</v>
      </c>
      <c r="Y21" s="2" t="n">
        <f aca="false">1-SUMPRODUCT(ABS(Ongebruikt!$AH$21:$AU$21-Gebruikt!$AH$23:$AU$23))/14</f>
        <v>0.864285714285714</v>
      </c>
      <c r="Z21" s="2" t="n">
        <f aca="false">1-SUMPRODUCT(ABS(Ongebruikt!$AH$21:$AU$21-Gebruikt!$AH$24:$AU$24))/14</f>
        <v>0.864285714285714</v>
      </c>
      <c r="AA21" s="2" t="n">
        <f aca="false">1-SUMPRODUCT(ABS(Ongebruikt!$AH$21:$AU$21-Gebruikt!$AH$25:$AU$25))/14</f>
        <v>0.842857142857143</v>
      </c>
      <c r="AB21" s="2" t="n">
        <f aca="false">1-SUMPRODUCT(ABS(Ongebruikt!$AH$21:$AU$21-Gebruikt!$AH$26:$AU$26))/14</f>
        <v>0.7</v>
      </c>
      <c r="AC21" s="2" t="n">
        <f aca="false">1-SUMPRODUCT(ABS(Ongebruikt!$AH$21:$AU$21-Gebruikt!$AH$27:$AU$27))/14</f>
        <v>0.771428571428571</v>
      </c>
      <c r="AD21" s="2" t="n">
        <f aca="false">1-SUMPRODUCT(ABS(Ongebruikt!$AH$21:$AU$21-Gebruikt!$AH$28:$AU$28))/14</f>
        <v>0.7</v>
      </c>
      <c r="AE21" s="2" t="n">
        <f aca="false">1-SUMPRODUCT(ABS(Ongebruikt!$AH$21:$AU$21-Gebruikt!$AH$29:$AU$29))/14</f>
        <v>0.721428571428571</v>
      </c>
      <c r="AF21" s="2" t="n">
        <f aca="false">1-SUMPRODUCT(ABS(Ongebruikt!$AH$21:$AU$21-Gebruikt!$AH$30:$AU$30))/14</f>
        <v>0.635714285714286</v>
      </c>
      <c r="AG21" s="2" t="n">
        <f aca="false">1-SUMPRODUCT(ABS(Ongebruikt!$AH$21:$AU$21-Gebruikt!$AH$31:$AU$31))/14</f>
        <v>0.742857142857143</v>
      </c>
      <c r="AH21" s="2" t="n">
        <f aca="false">1-SUMPRODUCT(ABS(Ongebruikt!$AH$21:$AU$21-Gebruikt!$AH$32:$AU$32))/14</f>
        <v>0.671428571428572</v>
      </c>
      <c r="AI21" s="2" t="n">
        <f aca="false">1-SUMPRODUCT(ABS(Ongebruikt!$AH$21:$AU$21-Gebruikt!$AH$33:$AU$33))/14</f>
        <v>0.721428571428571</v>
      </c>
      <c r="AJ21" s="2" t="n">
        <f aca="false">1-SUMPRODUCT(ABS(Ongebruikt!$AH$21:$AU$21-Gebruikt!$AH$34:$AU$34))/14</f>
        <v>0.9</v>
      </c>
      <c r="AK21" s="2" t="n">
        <f aca="false">1-SUMPRODUCT(ABS(Ongebruikt!$AH$21:$AU$21-Gebruikt!$AH$35:$AU$35))/14</f>
        <v>0.864285714285714</v>
      </c>
      <c r="AL21" s="2" t="n">
        <f aca="false">1-SUMPRODUCT(ABS(Ongebruikt!$AH$21:$AU$21-Gebruikt!$AH$36:$AU$36))/14</f>
        <v>0.742857142857143</v>
      </c>
      <c r="AM21" s="2" t="n">
        <f aca="false">1-SUMPRODUCT(ABS(Ongebruikt!$AH$21:$AU$21-Gebruikt!$AH$37:$AU$37))/14</f>
        <v>0.6</v>
      </c>
      <c r="AN21" s="2" t="n">
        <f aca="false">1-SUMPRODUCT(ABS(Ongebruikt!$AH$21:$AU$21-Gebruikt!$AH$38:$AU$38))/14</f>
        <v>0.721428571428571</v>
      </c>
      <c r="AO21" s="2" t="n">
        <f aca="false">1-SUMPRODUCT(ABS(Ongebruikt!$AH$21:$AU$21-Gebruikt!$AH$39:$AU$39))/14</f>
        <v>0.614285714285714</v>
      </c>
      <c r="AP21" s="2" t="n">
        <f aca="false">1-SUMPRODUCT(ABS(Ongebruikt!$AH$21:$AU$21-Gebruikt!$AH$40:$AU$40))/14</f>
        <v>0.728571428571429</v>
      </c>
      <c r="AQ21" s="2" t="n">
        <f aca="false">1-SUMPRODUCT(ABS(Ongebruikt!$AH$21:$AU$21-Gebruikt!$AH$41:$AU$41))/14</f>
        <v>0.707142857142857</v>
      </c>
      <c r="AR21" s="2" t="n">
        <f aca="false">1-SUMPRODUCT(ABS(Ongebruikt!$AH$21:$AU$21-Gebruikt!$AH$42:$AU$42))/14</f>
        <v>0.728571428571429</v>
      </c>
      <c r="AS21" s="2" t="n">
        <f aca="false">1-SUMPRODUCT(ABS(Ongebruikt!$AH$21:$AU$21-Gebruikt!$AH$43:$AU$43))/14</f>
        <v>0.721428571428571</v>
      </c>
      <c r="AT21" s="2" t="n">
        <f aca="false">1-SUMPRODUCT(ABS(Ongebruikt!$AH$21:$AU$21-Gebruikt!$AH$44:$AU$44))/14</f>
        <v>0.864285714285714</v>
      </c>
      <c r="AU21" s="2" t="n">
        <f aca="false">1-SUMPRODUCT(ABS(Ongebruikt!$AH$21:$AU$21-Gebruikt!$AH$45:$AU$45))/14</f>
        <v>0.721428571428571</v>
      </c>
      <c r="AV21" s="2" t="n">
        <f aca="false">1-SUMPRODUCT(ABS(Ongebruikt!$AH$21:$AU$21-Gebruikt!$AH$46:$AU$46))/14</f>
        <v>0.878571428571429</v>
      </c>
      <c r="AW21" s="2" t="n">
        <f aca="false">1-SUMPRODUCT(ABS(Ongebruikt!$AH$21:$AU$21-Gebruikt!$AH$47:$AU$47))/14</f>
        <v>0.728571428571429</v>
      </c>
      <c r="AX21" s="2" t="n">
        <f aca="false">1-SUMPRODUCT(ABS(Ongebruikt!$AH$21:$AU$21-Gebruikt!$AH$48:$AU$48))/14</f>
        <v>0.721428571428571</v>
      </c>
    </row>
    <row r="22" customFormat="false" ht="15" hidden="false" customHeight="false" outlineLevel="0" collapsed="false">
      <c r="A22" s="8" t="str">
        <f aca="false">Ongebruikt!A22</f>
        <v>U19</v>
      </c>
      <c r="B22" s="8" t="str">
        <f aca="false">Ongebruikt!B22</f>
        <v>Legendre-symbol hash (inversion-free ECDLP)</v>
      </c>
      <c r="C22" s="2" t="n">
        <f aca="false">1-D22</f>
        <v>0.1</v>
      </c>
      <c r="D22" s="2" t="n">
        <f aca="false">MAX(F22:AX22)</f>
        <v>0.9</v>
      </c>
      <c r="E22" s="2" t="str">
        <f aca="false">INDEX(Gebruikt!$B$4:$B$48,MATCH(D22,F22:AX22,0))</f>
        <v>Conditional replay exploiting average-executed Toffoli</v>
      </c>
      <c r="F22" s="2" t="n">
        <f aca="false">1-SUMPRODUCT(ABS(Ongebruikt!$AH$22:$AU$22-Gebruikt!$AH$4:$AU$4))/14</f>
        <v>0.564285714285714</v>
      </c>
      <c r="G22" s="2" t="n">
        <f aca="false">1-SUMPRODUCT(ABS(Ongebruikt!$AH$22:$AU$22-Gebruikt!$AH$5:$AU$5))/14</f>
        <v>0.721428571428571</v>
      </c>
      <c r="H22" s="2" t="n">
        <f aca="false">1-SUMPRODUCT(ABS(Ongebruikt!$AH$22:$AU$22-Gebruikt!$AH$6:$AU$6))/14</f>
        <v>0.721428571428571</v>
      </c>
      <c r="I22" s="2" t="n">
        <f aca="false">1-SUMPRODUCT(ABS(Ongebruikt!$AH$22:$AU$22-Gebruikt!$AH$7:$AU$7))/14</f>
        <v>0.864285714285714</v>
      </c>
      <c r="J22" s="2" t="n">
        <f aca="false">1-SUMPRODUCT(ABS(Ongebruikt!$AH$22:$AU$22-Gebruikt!$AH$8:$AU$8))/14</f>
        <v>0.685714285714286</v>
      </c>
      <c r="K22" s="2" t="n">
        <f aca="false">1-SUMPRODUCT(ABS(Ongebruikt!$AH$22:$AU$22-Gebruikt!$AH$9:$AU$9))/14</f>
        <v>0.692857142857143</v>
      </c>
      <c r="L22" s="2" t="n">
        <f aca="false">1-SUMPRODUCT(ABS(Ongebruikt!$AH$22:$AU$22-Gebruikt!$AH$10:$AU$10))/14</f>
        <v>0.692857142857143</v>
      </c>
      <c r="M22" s="2" t="n">
        <f aca="false">1-SUMPRODUCT(ABS(Ongebruikt!$AH$22:$AU$22-Gebruikt!$AH$11:$AU$11))/14</f>
        <v>0.692857142857143</v>
      </c>
      <c r="N22" s="2" t="n">
        <f aca="false">1-SUMPRODUCT(ABS(Ongebruikt!$AH$22:$AU$22-Gebruikt!$AH$12:$AU$12))/14</f>
        <v>0.8</v>
      </c>
      <c r="O22" s="2" t="n">
        <f aca="false">1-SUMPRODUCT(ABS(Ongebruikt!$AH$22:$AU$22-Gebruikt!$AH$13:$AU$13))/14</f>
        <v>0.564285714285714</v>
      </c>
      <c r="P22" s="2" t="n">
        <f aca="false">1-SUMPRODUCT(ABS(Ongebruikt!$AH$22:$AU$22-Gebruikt!$AH$14:$AU$14))/14</f>
        <v>0.764285714285714</v>
      </c>
      <c r="Q22" s="2" t="n">
        <f aca="false">1-SUMPRODUCT(ABS(Ongebruikt!$AH$22:$AU$22-Gebruikt!$AH$15:$AU$15))/14</f>
        <v>0.692857142857143</v>
      </c>
      <c r="R22" s="2" t="n">
        <f aca="false">1-SUMPRODUCT(ABS(Ongebruikt!$AH$22:$AU$22-Gebruikt!$AH$16:$AU$16))/14</f>
        <v>0.692857142857143</v>
      </c>
      <c r="S22" s="2" t="n">
        <f aca="false">1-SUMPRODUCT(ABS(Ongebruikt!$AH$22:$AU$22-Gebruikt!$AH$17:$AU$17))/14</f>
        <v>0.871428571428571</v>
      </c>
      <c r="T22" s="2" t="n">
        <f aca="false">1-SUMPRODUCT(ABS(Ongebruikt!$AH$22:$AU$22-Gebruikt!$AH$18:$AU$18))/14</f>
        <v>0.564285714285714</v>
      </c>
      <c r="U22" s="2" t="n">
        <f aca="false">1-SUMPRODUCT(ABS(Ongebruikt!$AH$22:$AU$22-Gebruikt!$AH$19:$AU$19))/14</f>
        <v>0.507142857142857</v>
      </c>
      <c r="V22" s="2" t="n">
        <f aca="false">1-SUMPRODUCT(ABS(Ongebruikt!$AH$22:$AU$22-Gebruikt!$AH$20:$AU$20))/14</f>
        <v>0.692857142857143</v>
      </c>
      <c r="W22" s="2" t="n">
        <f aca="false">1-SUMPRODUCT(ABS(Ongebruikt!$AH$22:$AU$22-Gebruikt!$AH$21:$AU$21))/14</f>
        <v>0.721428571428571</v>
      </c>
      <c r="X22" s="2" t="n">
        <f aca="false">1-SUMPRODUCT(ABS(Ongebruikt!$AH$22:$AU$22-Gebruikt!$AH$22:$AU$22))/14</f>
        <v>0.714285714285714</v>
      </c>
      <c r="Y22" s="2" t="n">
        <f aca="false">1-SUMPRODUCT(ABS(Ongebruikt!$AH$22:$AU$22-Gebruikt!$AH$23:$AU$23))/14</f>
        <v>0.685714285714286</v>
      </c>
      <c r="Z22" s="2" t="n">
        <f aca="false">1-SUMPRODUCT(ABS(Ongebruikt!$AH$22:$AU$22-Gebruikt!$AH$24:$AU$24))/14</f>
        <v>0.685714285714286</v>
      </c>
      <c r="AA22" s="2" t="n">
        <f aca="false">1-SUMPRODUCT(ABS(Ongebruikt!$AH$22:$AU$22-Gebruikt!$AH$25:$AU$25))/14</f>
        <v>0.535714285714286</v>
      </c>
      <c r="AB22" s="2" t="n">
        <f aca="false">1-SUMPRODUCT(ABS(Ongebruikt!$AH$22:$AU$22-Gebruikt!$AH$26:$AU$26))/14</f>
        <v>0.678571428571429</v>
      </c>
      <c r="AC22" s="2" t="n">
        <f aca="false">1-SUMPRODUCT(ABS(Ongebruikt!$AH$22:$AU$22-Gebruikt!$AH$27:$AU$27))/14</f>
        <v>0.492857142857143</v>
      </c>
      <c r="AD22" s="2" t="n">
        <f aca="false">1-SUMPRODUCT(ABS(Ongebruikt!$AH$22:$AU$22-Gebruikt!$AH$28:$AU$28))/14</f>
        <v>0.564285714285714</v>
      </c>
      <c r="AE22" s="2" t="n">
        <f aca="false">1-SUMPRODUCT(ABS(Ongebruikt!$AH$22:$AU$22-Gebruikt!$AH$29:$AU$29))/14</f>
        <v>0.9</v>
      </c>
      <c r="AF22" s="2" t="n">
        <f aca="false">1-SUMPRODUCT(ABS(Ongebruikt!$AH$22:$AU$22-Gebruikt!$AH$30:$AU$30))/14</f>
        <v>0.785714285714286</v>
      </c>
      <c r="AG22" s="2" t="n">
        <f aca="false">1-SUMPRODUCT(ABS(Ongebruikt!$AH$22:$AU$22-Gebruikt!$AH$31:$AU$31))/14</f>
        <v>0.492857142857143</v>
      </c>
      <c r="AH22" s="2" t="n">
        <f aca="false">1-SUMPRODUCT(ABS(Ongebruikt!$AH$22:$AU$22-Gebruikt!$AH$32:$AU$32))/14</f>
        <v>0.564285714285714</v>
      </c>
      <c r="AI22" s="2" t="n">
        <f aca="false">1-SUMPRODUCT(ABS(Ongebruikt!$AH$22:$AU$22-Gebruikt!$AH$33:$AU$33))/14</f>
        <v>0.9</v>
      </c>
      <c r="AJ22" s="2" t="n">
        <f aca="false">1-SUMPRODUCT(ABS(Ongebruikt!$AH$22:$AU$22-Gebruikt!$AH$34:$AU$34))/14</f>
        <v>0.721428571428571</v>
      </c>
      <c r="AK22" s="2" t="n">
        <f aca="false">1-SUMPRODUCT(ABS(Ongebruikt!$AH$22:$AU$22-Gebruikt!$AH$35:$AU$35))/14</f>
        <v>0.685714285714286</v>
      </c>
      <c r="AL22" s="2" t="n">
        <f aca="false">1-SUMPRODUCT(ABS(Ongebruikt!$AH$22:$AU$22-Gebruikt!$AH$36:$AU$36))/14</f>
        <v>0.492857142857143</v>
      </c>
      <c r="AM22" s="2" t="n">
        <f aca="false">1-SUMPRODUCT(ABS(Ongebruikt!$AH$22:$AU$22-Gebruikt!$AH$37:$AU$37))/14</f>
        <v>0.635714285714286</v>
      </c>
      <c r="AN22" s="2" t="n">
        <f aca="false">1-SUMPRODUCT(ABS(Ongebruikt!$AH$22:$AU$22-Gebruikt!$AH$38:$AU$38))/14</f>
        <v>0.9</v>
      </c>
      <c r="AO22" s="2" t="n">
        <f aca="false">1-SUMPRODUCT(ABS(Ongebruikt!$AH$22:$AU$22-Gebruikt!$AH$39:$AU$39))/14</f>
        <v>0.65</v>
      </c>
      <c r="AP22" s="2" t="n">
        <f aca="false">1-SUMPRODUCT(ABS(Ongebruikt!$AH$22:$AU$22-Gebruikt!$AH$40:$AU$40))/14</f>
        <v>0.692857142857143</v>
      </c>
      <c r="AQ22" s="2" t="n">
        <f aca="false">1-SUMPRODUCT(ABS(Ongebruikt!$AH$22:$AU$22-Gebruikt!$AH$41:$AU$41))/14</f>
        <v>0.714285714285714</v>
      </c>
      <c r="AR22" s="2" t="n">
        <f aca="false">1-SUMPRODUCT(ABS(Ongebruikt!$AH$22:$AU$22-Gebruikt!$AH$42:$AU$42))/14</f>
        <v>0.692857142857143</v>
      </c>
      <c r="AS22" s="2" t="n">
        <f aca="false">1-SUMPRODUCT(ABS(Ongebruikt!$AH$22:$AU$22-Gebruikt!$AH$43:$AU$43))/14</f>
        <v>0.871428571428571</v>
      </c>
      <c r="AT22" s="2" t="n">
        <f aca="false">1-SUMPRODUCT(ABS(Ongebruikt!$AH$22:$AU$22-Gebruikt!$AH$44:$AU$44))/14</f>
        <v>0.728571428571429</v>
      </c>
      <c r="AU22" s="2" t="n">
        <f aca="false">1-SUMPRODUCT(ABS(Ongebruikt!$AH$22:$AU$22-Gebruikt!$AH$45:$AU$45))/14</f>
        <v>0.871428571428571</v>
      </c>
      <c r="AV22" s="2" t="n">
        <f aca="false">1-SUMPRODUCT(ABS(Ongebruikt!$AH$22:$AU$22-Gebruikt!$AH$46:$AU$46))/14</f>
        <v>0.571428571428571</v>
      </c>
      <c r="AW22" s="2" t="n">
        <f aca="false">1-SUMPRODUCT(ABS(Ongebruikt!$AH$22:$AU$22-Gebruikt!$AH$47:$AU$47))/14</f>
        <v>0.692857142857143</v>
      </c>
      <c r="AX22" s="2" t="n">
        <f aca="false">1-SUMPRODUCT(ABS(Ongebruikt!$AH$22:$AU$22-Gebruikt!$AH$48:$AU$48))/14</f>
        <v>0.871428571428571</v>
      </c>
    </row>
    <row r="23" customFormat="false" ht="15" hidden="false" customHeight="false" outlineLevel="0" collapsed="false">
      <c r="A23" s="8" t="str">
        <f aca="false">Ongebruikt!A23</f>
        <v>U20</v>
      </c>
      <c r="B23" s="8" t="str">
        <f aca="false">Ongebruikt!B23</f>
        <v>GLV endomorphism</v>
      </c>
      <c r="C23" s="2" t="n">
        <f aca="false">1-D23</f>
        <v>0.1</v>
      </c>
      <c r="D23" s="2" t="n">
        <f aca="false">MAX(F23:AX23)</f>
        <v>0.9</v>
      </c>
      <c r="E23" s="2" t="str">
        <f aca="false">INDEX(Gebruikt!$B$4:$B$48,MATCH(D23,F23:AX23,0))</f>
        <v>Classical prefilter + GPU nonce search pipeline</v>
      </c>
      <c r="F23" s="2" t="n">
        <f aca="false">1-SUMPRODUCT(ABS(Ongebruikt!$AH$23:$AU$23-Gebruikt!$AH$4:$AU$4))/14</f>
        <v>0.5</v>
      </c>
      <c r="G23" s="2" t="n">
        <f aca="false">1-SUMPRODUCT(ABS(Ongebruikt!$AH$23:$AU$23-Gebruikt!$AH$5:$AU$5))/14</f>
        <v>0.871428571428571</v>
      </c>
      <c r="H23" s="2" t="n">
        <f aca="false">1-SUMPRODUCT(ABS(Ongebruikt!$AH$23:$AU$23-Gebruikt!$AH$6:$AU$6))/14</f>
        <v>0.871428571428571</v>
      </c>
      <c r="I23" s="2" t="n">
        <f aca="false">1-SUMPRODUCT(ABS(Ongebruikt!$AH$23:$AU$23-Gebruikt!$AH$7:$AU$7))/14</f>
        <v>0.657142857142857</v>
      </c>
      <c r="J23" s="2" t="n">
        <f aca="false">1-SUMPRODUCT(ABS(Ongebruikt!$AH$23:$AU$23-Gebruikt!$AH$8:$AU$8))/14</f>
        <v>0.835714285714286</v>
      </c>
      <c r="K23" s="2" t="n">
        <f aca="false">1-SUMPRODUCT(ABS(Ongebruikt!$AH$23:$AU$23-Gebruikt!$AH$9:$AU$9))/14</f>
        <v>0.757142857142857</v>
      </c>
      <c r="L23" s="2" t="n">
        <f aca="false">1-SUMPRODUCT(ABS(Ongebruikt!$AH$23:$AU$23-Gebruikt!$AH$10:$AU$10))/14</f>
        <v>0.757142857142857</v>
      </c>
      <c r="M23" s="2" t="n">
        <f aca="false">1-SUMPRODUCT(ABS(Ongebruikt!$AH$23:$AU$23-Gebruikt!$AH$11:$AU$11))/14</f>
        <v>0.757142857142857</v>
      </c>
      <c r="N23" s="2" t="n">
        <f aca="false">1-SUMPRODUCT(ABS(Ongebruikt!$AH$23:$AU$23-Gebruikt!$AH$12:$AU$12))/14</f>
        <v>0.65</v>
      </c>
      <c r="O23" s="2" t="n">
        <f aca="false">1-SUMPRODUCT(ABS(Ongebruikt!$AH$23:$AU$23-Gebruikt!$AH$13:$AU$13))/14</f>
        <v>0.671428571428572</v>
      </c>
      <c r="P23" s="2" t="n">
        <f aca="false">1-SUMPRODUCT(ABS(Ongebruikt!$AH$23:$AU$23-Gebruikt!$AH$14:$AU$14))/14</f>
        <v>0.828571428571429</v>
      </c>
      <c r="Q23" s="2" t="n">
        <f aca="false">1-SUMPRODUCT(ABS(Ongebruikt!$AH$23:$AU$23-Gebruikt!$AH$15:$AU$15))/14</f>
        <v>0.9</v>
      </c>
      <c r="R23" s="2" t="n">
        <f aca="false">1-SUMPRODUCT(ABS(Ongebruikt!$AH$23:$AU$23-Gebruikt!$AH$16:$AU$16))/14</f>
        <v>0.9</v>
      </c>
      <c r="S23" s="2" t="n">
        <f aca="false">1-SUMPRODUCT(ABS(Ongebruikt!$AH$23:$AU$23-Gebruikt!$AH$17:$AU$17))/14</f>
        <v>0.721428571428571</v>
      </c>
      <c r="T23" s="2" t="n">
        <f aca="false">1-SUMPRODUCT(ABS(Ongebruikt!$AH$23:$AU$23-Gebruikt!$AH$18:$AU$18))/14</f>
        <v>0.5</v>
      </c>
      <c r="U23" s="2" t="n">
        <f aca="false">1-SUMPRODUCT(ABS(Ongebruikt!$AH$23:$AU$23-Gebruikt!$AH$19:$AU$19))/14</f>
        <v>0.585714285714286</v>
      </c>
      <c r="V23" s="2" t="n">
        <f aca="false">1-SUMPRODUCT(ABS(Ongebruikt!$AH$23:$AU$23-Gebruikt!$AH$20:$AU$20))/14</f>
        <v>0.757142857142857</v>
      </c>
      <c r="W23" s="2" t="n">
        <f aca="false">1-SUMPRODUCT(ABS(Ongebruikt!$AH$23:$AU$23-Gebruikt!$AH$21:$AU$21))/14</f>
        <v>0.871428571428571</v>
      </c>
      <c r="X23" s="2" t="n">
        <f aca="false">1-SUMPRODUCT(ABS(Ongebruikt!$AH$23:$AU$23-Gebruikt!$AH$22:$AU$22))/14</f>
        <v>0.592857142857143</v>
      </c>
      <c r="Y23" s="2" t="n">
        <f aca="false">1-SUMPRODUCT(ABS(Ongebruikt!$AH$23:$AU$23-Gebruikt!$AH$23:$AU$23))/14</f>
        <v>0.835714285714286</v>
      </c>
      <c r="Z23" s="2" t="n">
        <f aca="false">1-SUMPRODUCT(ABS(Ongebruikt!$AH$23:$AU$23-Gebruikt!$AH$24:$AU$24))/14</f>
        <v>0.835714285714286</v>
      </c>
      <c r="AA23" s="2" t="n">
        <f aca="false">1-SUMPRODUCT(ABS(Ongebruikt!$AH$23:$AU$23-Gebruikt!$AH$25:$AU$25))/14</f>
        <v>0.671428571428572</v>
      </c>
      <c r="AB23" s="2" t="n">
        <f aca="false">1-SUMPRODUCT(ABS(Ongebruikt!$AH$23:$AU$23-Gebruikt!$AH$26:$AU$26))/14</f>
        <v>0.528571428571429</v>
      </c>
      <c r="AC23" s="2" t="n">
        <f aca="false">1-SUMPRODUCT(ABS(Ongebruikt!$AH$23:$AU$23-Gebruikt!$AH$27:$AU$27))/14</f>
        <v>0.742857142857143</v>
      </c>
      <c r="AD23" s="2" t="n">
        <f aca="false">1-SUMPRODUCT(ABS(Ongebruikt!$AH$23:$AU$23-Gebruikt!$AH$28:$AU$28))/14</f>
        <v>0.671428571428572</v>
      </c>
      <c r="AE23" s="2" t="n">
        <f aca="false">1-SUMPRODUCT(ABS(Ongebruikt!$AH$23:$AU$23-Gebruikt!$AH$29:$AU$29))/14</f>
        <v>0.692857142857143</v>
      </c>
      <c r="AF23" s="2" t="n">
        <f aca="false">1-SUMPRODUCT(ABS(Ongebruikt!$AH$23:$AU$23-Gebruikt!$AH$30:$AU$30))/14</f>
        <v>0.807142857142857</v>
      </c>
      <c r="AG23" s="2" t="n">
        <f aca="false">1-SUMPRODUCT(ABS(Ongebruikt!$AH$23:$AU$23-Gebruikt!$AH$31:$AU$31))/14</f>
        <v>0.571428571428571</v>
      </c>
      <c r="AH23" s="2" t="n">
        <f aca="false">1-SUMPRODUCT(ABS(Ongebruikt!$AH$23:$AU$23-Gebruikt!$AH$32:$AU$32))/14</f>
        <v>0.5</v>
      </c>
      <c r="AI23" s="2" t="n">
        <f aca="false">1-SUMPRODUCT(ABS(Ongebruikt!$AH$23:$AU$23-Gebruikt!$AH$33:$AU$33))/14</f>
        <v>0.692857142857143</v>
      </c>
      <c r="AJ23" s="2" t="n">
        <f aca="false">1-SUMPRODUCT(ABS(Ongebruikt!$AH$23:$AU$23-Gebruikt!$AH$34:$AU$34))/14</f>
        <v>0.871428571428571</v>
      </c>
      <c r="AK23" s="2" t="n">
        <f aca="false">1-SUMPRODUCT(ABS(Ongebruikt!$AH$23:$AU$23-Gebruikt!$AH$35:$AU$35))/14</f>
        <v>0.835714285714286</v>
      </c>
      <c r="AL23" s="2" t="n">
        <f aca="false">1-SUMPRODUCT(ABS(Ongebruikt!$AH$23:$AU$23-Gebruikt!$AH$36:$AU$36))/14</f>
        <v>0.571428571428571</v>
      </c>
      <c r="AM23" s="2" t="n">
        <f aca="false">1-SUMPRODUCT(ABS(Ongebruikt!$AH$23:$AU$23-Gebruikt!$AH$37:$AU$37))/14</f>
        <v>0.428571428571429</v>
      </c>
      <c r="AN23" s="2" t="n">
        <f aca="false">1-SUMPRODUCT(ABS(Ongebruikt!$AH$23:$AU$23-Gebruikt!$AH$38:$AU$38))/14</f>
        <v>0.692857142857143</v>
      </c>
      <c r="AO23" s="2" t="n">
        <f aca="false">1-SUMPRODUCT(ABS(Ongebruikt!$AH$23:$AU$23-Gebruikt!$AH$39:$AU$39))/14</f>
        <v>0.442857142857143</v>
      </c>
      <c r="AP23" s="2" t="n">
        <f aca="false">1-SUMPRODUCT(ABS(Ongebruikt!$AH$23:$AU$23-Gebruikt!$AH$40:$AU$40))/14</f>
        <v>0.757142857142857</v>
      </c>
      <c r="AQ23" s="2" t="n">
        <f aca="false">1-SUMPRODUCT(ABS(Ongebruikt!$AH$23:$AU$23-Gebruikt!$AH$41:$AU$41))/14</f>
        <v>0.878571428571429</v>
      </c>
      <c r="AR23" s="2" t="n">
        <f aca="false">1-SUMPRODUCT(ABS(Ongebruikt!$AH$23:$AU$23-Gebruikt!$AH$42:$AU$42))/14</f>
        <v>0.757142857142857</v>
      </c>
      <c r="AS23" s="2" t="n">
        <f aca="false">1-SUMPRODUCT(ABS(Ongebruikt!$AH$23:$AU$23-Gebruikt!$AH$43:$AU$43))/14</f>
        <v>0.721428571428571</v>
      </c>
      <c r="AT23" s="2" t="n">
        <f aca="false">1-SUMPRODUCT(ABS(Ongebruikt!$AH$23:$AU$23-Gebruikt!$AH$44:$AU$44))/14</f>
        <v>0.864285714285714</v>
      </c>
      <c r="AU23" s="2" t="n">
        <f aca="false">1-SUMPRODUCT(ABS(Ongebruikt!$AH$23:$AU$23-Gebruikt!$AH$45:$AU$45))/14</f>
        <v>0.721428571428571</v>
      </c>
      <c r="AV23" s="2" t="n">
        <f aca="false">1-SUMPRODUCT(ABS(Ongebruikt!$AH$23:$AU$23-Gebruikt!$AH$46:$AU$46))/14</f>
        <v>0.735714285714286</v>
      </c>
      <c r="AW23" s="2" t="n">
        <f aca="false">1-SUMPRODUCT(ABS(Ongebruikt!$AH$23:$AU$23-Gebruikt!$AH$47:$AU$47))/14</f>
        <v>0.757142857142857</v>
      </c>
      <c r="AX23" s="2" t="n">
        <f aca="false">1-SUMPRODUCT(ABS(Ongebruikt!$AH$23:$AU$23-Gebruikt!$AH$48:$AU$48))/14</f>
        <v>0.721428571428571</v>
      </c>
    </row>
    <row r="24" customFormat="false" ht="15" hidden="false" customHeight="false" outlineLevel="0" collapsed="false">
      <c r="A24" s="8" t="str">
        <f aca="false">Ongebruikt!A24</f>
        <v>U21</v>
      </c>
      <c r="B24" s="8" t="str">
        <f aca="false">Ongebruikt!B24</f>
        <v>Draper QFT adder</v>
      </c>
      <c r="C24" s="2" t="n">
        <f aca="false">1-D24</f>
        <v>0.271428571428571</v>
      </c>
      <c r="D24" s="2" t="n">
        <f aca="false">MAX(F24:AX24)</f>
        <v>0.728571428571429</v>
      </c>
      <c r="E24" s="2" t="str">
        <f aca="false">INDEX(Gebruikt!$B$4:$B$48,MATCH(D24,F24:AX24,0))</f>
        <v>(r,s) cswap boundary merge</v>
      </c>
      <c r="F24" s="2" t="n">
        <f aca="false">1-SUMPRODUCT(ABS(Ongebruikt!$AH$24:$AU$24-Gebruikt!$AH$4:$AU$4))/14</f>
        <v>0.385714285714286</v>
      </c>
      <c r="G24" s="2" t="n">
        <f aca="false">1-SUMPRODUCT(ABS(Ongebruikt!$AH$24:$AU$24-Gebruikt!$AH$5:$AU$5))/14</f>
        <v>0.728571428571429</v>
      </c>
      <c r="H24" s="2" t="n">
        <f aca="false">1-SUMPRODUCT(ABS(Ongebruikt!$AH$24:$AU$24-Gebruikt!$AH$6:$AU$6))/14</f>
        <v>0.728571428571429</v>
      </c>
      <c r="I24" s="2" t="n">
        <f aca="false">1-SUMPRODUCT(ABS(Ongebruikt!$AH$24:$AU$24-Gebruikt!$AH$7:$AU$7))/14</f>
        <v>0.514285714285714</v>
      </c>
      <c r="J24" s="2" t="n">
        <f aca="false">1-SUMPRODUCT(ABS(Ongebruikt!$AH$24:$AU$24-Gebruikt!$AH$8:$AU$8))/14</f>
        <v>0.692857142857143</v>
      </c>
      <c r="K24" s="2" t="n">
        <f aca="false">1-SUMPRODUCT(ABS(Ongebruikt!$AH$24:$AU$24-Gebruikt!$AH$9:$AU$9))/14</f>
        <v>0.557142857142857</v>
      </c>
      <c r="L24" s="2" t="n">
        <f aca="false">1-SUMPRODUCT(ABS(Ongebruikt!$AH$24:$AU$24-Gebruikt!$AH$10:$AU$10))/14</f>
        <v>0.557142857142857</v>
      </c>
      <c r="M24" s="2" t="n">
        <f aca="false">1-SUMPRODUCT(ABS(Ongebruikt!$AH$24:$AU$24-Gebruikt!$AH$11:$AU$11))/14</f>
        <v>0.557142857142857</v>
      </c>
      <c r="N24" s="2" t="n">
        <f aca="false">1-SUMPRODUCT(ABS(Ongebruikt!$AH$24:$AU$24-Gebruikt!$AH$12:$AU$12))/14</f>
        <v>0.45</v>
      </c>
      <c r="O24" s="2" t="n">
        <f aca="false">1-SUMPRODUCT(ABS(Ongebruikt!$AH$24:$AU$24-Gebruikt!$AH$13:$AU$13))/14</f>
        <v>0.385714285714286</v>
      </c>
      <c r="P24" s="2" t="n">
        <f aca="false">1-SUMPRODUCT(ABS(Ongebruikt!$AH$24:$AU$24-Gebruikt!$AH$14:$AU$14))/14</f>
        <v>0.628571428571429</v>
      </c>
      <c r="Q24" s="2" t="n">
        <f aca="false">1-SUMPRODUCT(ABS(Ongebruikt!$AH$24:$AU$24-Gebruikt!$AH$15:$AU$15))/14</f>
        <v>0.7</v>
      </c>
      <c r="R24" s="2" t="n">
        <f aca="false">1-SUMPRODUCT(ABS(Ongebruikt!$AH$24:$AU$24-Gebruikt!$AH$16:$AU$16))/14</f>
        <v>0.7</v>
      </c>
      <c r="S24" s="2" t="n">
        <f aca="false">1-SUMPRODUCT(ABS(Ongebruikt!$AH$24:$AU$24-Gebruikt!$AH$17:$AU$17))/14</f>
        <v>0.55</v>
      </c>
      <c r="T24" s="2" t="n">
        <f aca="false">1-SUMPRODUCT(ABS(Ongebruikt!$AH$24:$AU$24-Gebruikt!$AH$18:$AU$18))/14</f>
        <v>0.385714285714286</v>
      </c>
      <c r="U24" s="2" t="n">
        <f aca="false">1-SUMPRODUCT(ABS(Ongebruikt!$AH$24:$AU$24-Gebruikt!$AH$19:$AU$19))/14</f>
        <v>0.442857142857143</v>
      </c>
      <c r="V24" s="2" t="n">
        <f aca="false">1-SUMPRODUCT(ABS(Ongebruikt!$AH$24:$AU$24-Gebruikt!$AH$20:$AU$20))/14</f>
        <v>0.557142857142857</v>
      </c>
      <c r="W24" s="2" t="n">
        <f aca="false">1-SUMPRODUCT(ABS(Ongebruikt!$AH$24:$AU$24-Gebruikt!$AH$21:$AU$21))/14</f>
        <v>0.728571428571429</v>
      </c>
      <c r="X24" s="2" t="n">
        <f aca="false">1-SUMPRODUCT(ABS(Ongebruikt!$AH$24:$AU$24-Gebruikt!$AH$22:$AU$22))/14</f>
        <v>0.421428571428572</v>
      </c>
      <c r="Y24" s="2" t="n">
        <f aca="false">1-SUMPRODUCT(ABS(Ongebruikt!$AH$24:$AU$24-Gebruikt!$AH$23:$AU$23))/14</f>
        <v>0.692857142857143</v>
      </c>
      <c r="Z24" s="2" t="n">
        <f aca="false">1-SUMPRODUCT(ABS(Ongebruikt!$AH$24:$AU$24-Gebruikt!$AH$24:$AU$24))/14</f>
        <v>0.692857142857143</v>
      </c>
      <c r="AA24" s="2" t="n">
        <f aca="false">1-SUMPRODUCT(ABS(Ongebruikt!$AH$24:$AU$24-Gebruikt!$AH$25:$AU$25))/14</f>
        <v>0.557142857142857</v>
      </c>
      <c r="AB24" s="2" t="n">
        <f aca="false">1-SUMPRODUCT(ABS(Ongebruikt!$AH$24:$AU$24-Gebruikt!$AH$26:$AU$26))/14</f>
        <v>0.414285714285714</v>
      </c>
      <c r="AC24" s="2" t="n">
        <f aca="false">1-SUMPRODUCT(ABS(Ongebruikt!$AH$24:$AU$24-Gebruikt!$AH$27:$AU$27))/14</f>
        <v>0.457142857142857</v>
      </c>
      <c r="AD24" s="2" t="n">
        <f aca="false">1-SUMPRODUCT(ABS(Ongebruikt!$AH$24:$AU$24-Gebruikt!$AH$28:$AU$28))/14</f>
        <v>0.385714285714286</v>
      </c>
      <c r="AE24" s="2" t="n">
        <f aca="false">1-SUMPRODUCT(ABS(Ongebruikt!$AH$24:$AU$24-Gebruikt!$AH$29:$AU$29))/14</f>
        <v>0.55</v>
      </c>
      <c r="AF24" s="2" t="n">
        <f aca="false">1-SUMPRODUCT(ABS(Ongebruikt!$AH$24:$AU$24-Gebruikt!$AH$30:$AU$30))/14</f>
        <v>0.464285714285714</v>
      </c>
      <c r="AG24" s="2" t="n">
        <f aca="false">1-SUMPRODUCT(ABS(Ongebruikt!$AH$24:$AU$24-Gebruikt!$AH$31:$AU$31))/14</f>
        <v>0.457142857142857</v>
      </c>
      <c r="AH24" s="2" t="n">
        <f aca="false">1-SUMPRODUCT(ABS(Ongebruikt!$AH$24:$AU$24-Gebruikt!$AH$32:$AU$32))/14</f>
        <v>0.385714285714286</v>
      </c>
      <c r="AI24" s="2" t="n">
        <f aca="false">1-SUMPRODUCT(ABS(Ongebruikt!$AH$24:$AU$24-Gebruikt!$AH$33:$AU$33))/14</f>
        <v>0.55</v>
      </c>
      <c r="AJ24" s="2" t="n">
        <f aca="false">1-SUMPRODUCT(ABS(Ongebruikt!$AH$24:$AU$24-Gebruikt!$AH$34:$AU$34))/14</f>
        <v>0.728571428571429</v>
      </c>
      <c r="AK24" s="2" t="n">
        <f aca="false">1-SUMPRODUCT(ABS(Ongebruikt!$AH$24:$AU$24-Gebruikt!$AH$35:$AU$35))/14</f>
        <v>0.692857142857143</v>
      </c>
      <c r="AL24" s="2" t="n">
        <f aca="false">1-SUMPRODUCT(ABS(Ongebruikt!$AH$24:$AU$24-Gebruikt!$AH$36:$AU$36))/14</f>
        <v>0.457142857142857</v>
      </c>
      <c r="AM24" s="2" t="n">
        <f aca="false">1-SUMPRODUCT(ABS(Ongebruikt!$AH$24:$AU$24-Gebruikt!$AH$37:$AU$37))/14</f>
        <v>0.314285714285714</v>
      </c>
      <c r="AN24" s="2" t="n">
        <f aca="false">1-SUMPRODUCT(ABS(Ongebruikt!$AH$24:$AU$24-Gebruikt!$AH$38:$AU$38))/14</f>
        <v>0.55</v>
      </c>
      <c r="AO24" s="2" t="n">
        <f aca="false">1-SUMPRODUCT(ABS(Ongebruikt!$AH$24:$AU$24-Gebruikt!$AH$39:$AU$39))/14</f>
        <v>0.3</v>
      </c>
      <c r="AP24" s="2" t="n">
        <f aca="false">1-SUMPRODUCT(ABS(Ongebruikt!$AH$24:$AU$24-Gebruikt!$AH$40:$AU$40))/14</f>
        <v>0.557142857142857</v>
      </c>
      <c r="AQ24" s="2" t="n">
        <f aca="false">1-SUMPRODUCT(ABS(Ongebruikt!$AH$24:$AU$24-Gebruikt!$AH$41:$AU$41))/14</f>
        <v>0.535714285714286</v>
      </c>
      <c r="AR24" s="2" t="n">
        <f aca="false">1-SUMPRODUCT(ABS(Ongebruikt!$AH$24:$AU$24-Gebruikt!$AH$42:$AU$42))/14</f>
        <v>0.557142857142857</v>
      </c>
      <c r="AS24" s="2" t="n">
        <f aca="false">1-SUMPRODUCT(ABS(Ongebruikt!$AH$24:$AU$24-Gebruikt!$AH$43:$AU$43))/14</f>
        <v>0.55</v>
      </c>
      <c r="AT24" s="2" t="n">
        <f aca="false">1-SUMPRODUCT(ABS(Ongebruikt!$AH$24:$AU$24-Gebruikt!$AH$44:$AU$44))/14</f>
        <v>0.692857142857143</v>
      </c>
      <c r="AU24" s="2" t="n">
        <f aca="false">1-SUMPRODUCT(ABS(Ongebruikt!$AH$24:$AU$24-Gebruikt!$AH$45:$AU$45))/14</f>
        <v>0.55</v>
      </c>
      <c r="AV24" s="2" t="n">
        <f aca="false">1-SUMPRODUCT(ABS(Ongebruikt!$AH$24:$AU$24-Gebruikt!$AH$46:$AU$46))/14</f>
        <v>0.564285714285714</v>
      </c>
      <c r="AW24" s="2" t="n">
        <f aca="false">1-SUMPRODUCT(ABS(Ongebruikt!$AH$24:$AU$24-Gebruikt!$AH$47:$AU$47))/14</f>
        <v>0.557142857142857</v>
      </c>
      <c r="AX24" s="2" t="n">
        <f aca="false">1-SUMPRODUCT(ABS(Ongebruikt!$AH$24:$AU$24-Gebruikt!$AH$48:$AU$48))/14</f>
        <v>0.55</v>
      </c>
    </row>
    <row r="25" customFormat="false" ht="15" hidden="false" customHeight="false" outlineLevel="0" collapsed="false">
      <c r="A25" s="8" t="str">
        <f aca="false">Ongebruikt!A25</f>
        <v>U22</v>
      </c>
      <c r="B25" s="8" t="str">
        <f aca="false">Ongebruikt!B25</f>
        <v>Phase-gradient arithmetic</v>
      </c>
      <c r="C25" s="2" t="n">
        <f aca="false">1-D25</f>
        <v>0.364285714285714</v>
      </c>
      <c r="D25" s="2" t="n">
        <f aca="false">MAX(F25:AX25)</f>
        <v>0.635714285714286</v>
      </c>
      <c r="E25" s="2" t="str">
        <f aca="false">INDEX(Gebruikt!$B$4:$B$48,MATCH(D25,F25:AX25,0))</f>
        <v>Chunked/windowed adders with measured boundary-carry erasure</v>
      </c>
      <c r="F25" s="2" t="n">
        <f aca="false">1-SUMPRODUCT(ABS(Ongebruikt!$AH$25:$AU$25-Gebruikt!$AH$4:$AU$4))/14</f>
        <v>0.485714285714286</v>
      </c>
      <c r="G25" s="2" t="n">
        <f aca="false">1-SUMPRODUCT(ABS(Ongebruikt!$AH$25:$AU$25-Gebruikt!$AH$5:$AU$5))/14</f>
        <v>0.542857142857143</v>
      </c>
      <c r="H25" s="2" t="n">
        <f aca="false">1-SUMPRODUCT(ABS(Ongebruikt!$AH$25:$AU$25-Gebruikt!$AH$6:$AU$6))/14</f>
        <v>0.542857142857143</v>
      </c>
      <c r="I25" s="2" t="n">
        <f aca="false">1-SUMPRODUCT(ABS(Ongebruikt!$AH$25:$AU$25-Gebruikt!$AH$7:$AU$7))/14</f>
        <v>0.542857142857143</v>
      </c>
      <c r="J25" s="2" t="n">
        <f aca="false">1-SUMPRODUCT(ABS(Ongebruikt!$AH$25:$AU$25-Gebruikt!$AH$8:$AU$8))/14</f>
        <v>0.578571428571429</v>
      </c>
      <c r="K25" s="2" t="n">
        <f aca="false">1-SUMPRODUCT(ABS(Ongebruikt!$AH$25:$AU$25-Gebruikt!$AH$9:$AU$9))/14</f>
        <v>0.514285714285714</v>
      </c>
      <c r="L25" s="2" t="n">
        <f aca="false">1-SUMPRODUCT(ABS(Ongebruikt!$AH$25:$AU$25-Gebruikt!$AH$10:$AU$10))/14</f>
        <v>0.514285714285714</v>
      </c>
      <c r="M25" s="2" t="n">
        <f aca="false">1-SUMPRODUCT(ABS(Ongebruikt!$AH$25:$AU$25-Gebruikt!$AH$11:$AU$11))/14</f>
        <v>0.514285714285714</v>
      </c>
      <c r="N25" s="2" t="n">
        <f aca="false">1-SUMPRODUCT(ABS(Ongebruikt!$AH$25:$AU$25-Gebruikt!$AH$12:$AU$12))/14</f>
        <v>0.407142857142857</v>
      </c>
      <c r="O25" s="2" t="n">
        <f aca="false">1-SUMPRODUCT(ABS(Ongebruikt!$AH$25:$AU$25-Gebruikt!$AH$13:$AU$13))/14</f>
        <v>0.628571428571429</v>
      </c>
      <c r="P25" s="2" t="n">
        <f aca="false">1-SUMPRODUCT(ABS(Ongebruikt!$AH$25:$AU$25-Gebruikt!$AH$14:$AU$14))/14</f>
        <v>0.585714285714286</v>
      </c>
      <c r="Q25" s="2" t="n">
        <f aca="false">1-SUMPRODUCT(ABS(Ongebruikt!$AH$25:$AU$25-Gebruikt!$AH$15:$AU$15))/14</f>
        <v>0.514285714285714</v>
      </c>
      <c r="R25" s="2" t="n">
        <f aca="false">1-SUMPRODUCT(ABS(Ongebruikt!$AH$25:$AU$25-Gebruikt!$AH$16:$AU$16))/14</f>
        <v>0.514285714285714</v>
      </c>
      <c r="S25" s="2" t="n">
        <f aca="false">1-SUMPRODUCT(ABS(Ongebruikt!$AH$25:$AU$25-Gebruikt!$AH$17:$AU$17))/14</f>
        <v>0.364285714285714</v>
      </c>
      <c r="T25" s="2" t="n">
        <f aca="false">1-SUMPRODUCT(ABS(Ongebruikt!$AH$25:$AU$25-Gebruikt!$AH$18:$AU$18))/14</f>
        <v>0.485714285714286</v>
      </c>
      <c r="U25" s="2" t="n">
        <f aca="false">1-SUMPRODUCT(ABS(Ongebruikt!$AH$25:$AU$25-Gebruikt!$AH$19:$AU$19))/14</f>
        <v>0.542857142857143</v>
      </c>
      <c r="V25" s="2" t="n">
        <f aca="false">1-SUMPRODUCT(ABS(Ongebruikt!$AH$25:$AU$25-Gebruikt!$AH$20:$AU$20))/14</f>
        <v>0.514285714285714</v>
      </c>
      <c r="W25" s="2" t="n">
        <f aca="false">1-SUMPRODUCT(ABS(Ongebruikt!$AH$25:$AU$25-Gebruikt!$AH$21:$AU$21))/14</f>
        <v>0.542857142857143</v>
      </c>
      <c r="X25" s="2" t="n">
        <f aca="false">1-SUMPRODUCT(ABS(Ongebruikt!$AH$25:$AU$25-Gebruikt!$AH$22:$AU$22))/14</f>
        <v>0.635714285714286</v>
      </c>
      <c r="Y25" s="2" t="n">
        <f aca="false">1-SUMPRODUCT(ABS(Ongebruikt!$AH$25:$AU$25-Gebruikt!$AH$23:$AU$23))/14</f>
        <v>0.578571428571429</v>
      </c>
      <c r="Z25" s="2" t="n">
        <f aca="false">1-SUMPRODUCT(ABS(Ongebruikt!$AH$25:$AU$25-Gebruikt!$AH$24:$AU$24))/14</f>
        <v>0.578571428571429</v>
      </c>
      <c r="AA25" s="2" t="n">
        <f aca="false">1-SUMPRODUCT(ABS(Ongebruikt!$AH$25:$AU$25-Gebruikt!$AH$25:$AU$25))/14</f>
        <v>0.628571428571429</v>
      </c>
      <c r="AB25" s="2" t="n">
        <f aca="false">1-SUMPRODUCT(ABS(Ongebruikt!$AH$25:$AU$25-Gebruikt!$AH$26:$AU$26))/14</f>
        <v>0.628571428571429</v>
      </c>
      <c r="AC25" s="2" t="n">
        <f aca="false">1-SUMPRODUCT(ABS(Ongebruikt!$AH$25:$AU$25-Gebruikt!$AH$27:$AU$27))/14</f>
        <v>0.557142857142857</v>
      </c>
      <c r="AD25" s="2" t="n">
        <f aca="false">1-SUMPRODUCT(ABS(Ongebruikt!$AH$25:$AU$25-Gebruikt!$AH$28:$AU$28))/14</f>
        <v>0.628571428571429</v>
      </c>
      <c r="AE25" s="2" t="n">
        <f aca="false">1-SUMPRODUCT(ABS(Ongebruikt!$AH$25:$AU$25-Gebruikt!$AH$29:$AU$29))/14</f>
        <v>0.364285714285714</v>
      </c>
      <c r="AF25" s="2" t="n">
        <f aca="false">1-SUMPRODUCT(ABS(Ongebruikt!$AH$25:$AU$25-Gebruikt!$AH$30:$AU$30))/14</f>
        <v>0.278571428571429</v>
      </c>
      <c r="AG25" s="2" t="n">
        <f aca="false">1-SUMPRODUCT(ABS(Ongebruikt!$AH$25:$AU$25-Gebruikt!$AH$31:$AU$31))/14</f>
        <v>0.557142857142857</v>
      </c>
      <c r="AH25" s="2" t="n">
        <f aca="false">1-SUMPRODUCT(ABS(Ongebruikt!$AH$25:$AU$25-Gebruikt!$AH$32:$AU$32))/14</f>
        <v>0.485714285714286</v>
      </c>
      <c r="AI25" s="2" t="n">
        <f aca="false">1-SUMPRODUCT(ABS(Ongebruikt!$AH$25:$AU$25-Gebruikt!$AH$33:$AU$33))/14</f>
        <v>0.507142857142857</v>
      </c>
      <c r="AJ25" s="2" t="n">
        <f aca="false">1-SUMPRODUCT(ABS(Ongebruikt!$AH$25:$AU$25-Gebruikt!$AH$34:$AU$34))/14</f>
        <v>0.542857142857143</v>
      </c>
      <c r="AK25" s="2" t="n">
        <f aca="false">1-SUMPRODUCT(ABS(Ongebruikt!$AH$25:$AU$25-Gebruikt!$AH$35:$AU$35))/14</f>
        <v>0.578571428571429</v>
      </c>
      <c r="AL25" s="2" t="n">
        <f aca="false">1-SUMPRODUCT(ABS(Ongebruikt!$AH$25:$AU$25-Gebruikt!$AH$36:$AU$36))/14</f>
        <v>0.557142857142857</v>
      </c>
      <c r="AM25" s="2" t="n">
        <f aca="false">1-SUMPRODUCT(ABS(Ongebruikt!$AH$25:$AU$25-Gebruikt!$AH$37:$AU$37))/14</f>
        <v>0.557142857142857</v>
      </c>
      <c r="AN25" s="2" t="n">
        <f aca="false">1-SUMPRODUCT(ABS(Ongebruikt!$AH$25:$AU$25-Gebruikt!$AH$38:$AU$38))/14</f>
        <v>0.364285714285714</v>
      </c>
      <c r="AO25" s="2" t="n">
        <f aca="false">1-SUMPRODUCT(ABS(Ongebruikt!$AH$25:$AU$25-Gebruikt!$AH$39:$AU$39))/14</f>
        <v>0.542857142857143</v>
      </c>
      <c r="AP25" s="2" t="n">
        <f aca="false">1-SUMPRODUCT(ABS(Ongebruikt!$AH$25:$AU$25-Gebruikt!$AH$40:$AU$40))/14</f>
        <v>0.514285714285714</v>
      </c>
      <c r="AQ25" s="2" t="n">
        <f aca="false">1-SUMPRODUCT(ABS(Ongebruikt!$AH$25:$AU$25-Gebruikt!$AH$41:$AU$41))/14</f>
        <v>0.35</v>
      </c>
      <c r="AR25" s="2" t="n">
        <f aca="false">1-SUMPRODUCT(ABS(Ongebruikt!$AH$25:$AU$25-Gebruikt!$AH$42:$AU$42))/14</f>
        <v>0.514285714285714</v>
      </c>
      <c r="AS25" s="2" t="n">
        <f aca="false">1-SUMPRODUCT(ABS(Ongebruikt!$AH$25:$AU$25-Gebruikt!$AH$43:$AU$43))/14</f>
        <v>0.507142857142857</v>
      </c>
      <c r="AT25" s="2" t="n">
        <f aca="false">1-SUMPRODUCT(ABS(Ongebruikt!$AH$25:$AU$25-Gebruikt!$AH$44:$AU$44))/14</f>
        <v>0.507142857142857</v>
      </c>
      <c r="AU25" s="2" t="n">
        <f aca="false">1-SUMPRODUCT(ABS(Ongebruikt!$AH$25:$AU$25-Gebruikt!$AH$45:$AU$45))/14</f>
        <v>0.507142857142857</v>
      </c>
      <c r="AV25" s="2" t="n">
        <f aca="false">1-SUMPRODUCT(ABS(Ongebruikt!$AH$25:$AU$25-Gebruikt!$AH$46:$AU$46))/14</f>
        <v>0.635714285714286</v>
      </c>
      <c r="AW25" s="2" t="n">
        <f aca="false">1-SUMPRODUCT(ABS(Ongebruikt!$AH$25:$AU$25-Gebruikt!$AH$47:$AU$47))/14</f>
        <v>0.514285714285714</v>
      </c>
      <c r="AX25" s="2" t="n">
        <f aca="false">1-SUMPRODUCT(ABS(Ongebruikt!$AH$25:$AU$25-Gebruikt!$AH$48:$AU$48))/14</f>
        <v>0.364285714285714</v>
      </c>
    </row>
    <row r="26" customFormat="false" ht="15" hidden="false" customHeight="false" outlineLevel="0" collapsed="false">
      <c r="A26" s="8" t="str">
        <f aca="false">Ongebruikt!A26</f>
        <v>U23</v>
      </c>
      <c r="B26" s="8" t="str">
        <f aca="false">Ongebruikt!B26</f>
        <v>Carry-lookahead adder (Draper-Kutin-Rains-Svore)</v>
      </c>
      <c r="C26" s="2" t="n">
        <f aca="false">1-D26</f>
        <v>0.0285714285714286</v>
      </c>
      <c r="D26" s="2" t="n">
        <f aca="false">MAX(F26:AX26)</f>
        <v>0.971428571428571</v>
      </c>
      <c r="E26" s="2" t="str">
        <f aca="false">INDEX(Gebruikt!$B$4:$B$48,MATCH(D26,F26:AX26,0))</f>
        <v>Karatsuba squaring (recursive, in place)</v>
      </c>
      <c r="F26" s="2" t="n">
        <f aca="false">1-SUMPRODUCT(ABS(Ongebruikt!$AH$26:$AU$26-Gebruikt!$AH$4:$AU$4))/14</f>
        <v>0.8</v>
      </c>
      <c r="G26" s="2" t="n">
        <f aca="false">1-SUMPRODUCT(ABS(Ongebruikt!$AH$26:$AU$26-Gebruikt!$AH$5:$AU$5))/14</f>
        <v>0.742857142857143</v>
      </c>
      <c r="H26" s="2" t="n">
        <f aca="false">1-SUMPRODUCT(ABS(Ongebruikt!$AH$26:$AU$26-Gebruikt!$AH$6:$AU$6))/14</f>
        <v>0.742857142857143</v>
      </c>
      <c r="I26" s="2" t="n">
        <f aca="false">1-SUMPRODUCT(ABS(Ongebruikt!$AH$26:$AU$26-Gebruikt!$AH$7:$AU$7))/14</f>
        <v>0.671428571428572</v>
      </c>
      <c r="J26" s="2" t="n">
        <f aca="false">1-SUMPRODUCT(ABS(Ongebruikt!$AH$26:$AU$26-Gebruikt!$AH$8:$AU$8))/14</f>
        <v>0.778571428571429</v>
      </c>
      <c r="K26" s="2" t="n">
        <f aca="false">1-SUMPRODUCT(ABS(Ongebruikt!$AH$26:$AU$26-Gebruikt!$AH$9:$AU$9))/14</f>
        <v>0.6</v>
      </c>
      <c r="L26" s="2" t="n">
        <f aca="false">1-SUMPRODUCT(ABS(Ongebruikt!$AH$26:$AU$26-Gebruikt!$AH$10:$AU$10))/14</f>
        <v>0.6</v>
      </c>
      <c r="M26" s="2" t="n">
        <f aca="false">1-SUMPRODUCT(ABS(Ongebruikt!$AH$26:$AU$26-Gebruikt!$AH$11:$AU$11))/14</f>
        <v>0.6</v>
      </c>
      <c r="N26" s="2" t="n">
        <f aca="false">1-SUMPRODUCT(ABS(Ongebruikt!$AH$26:$AU$26-Gebruikt!$AH$12:$AU$12))/14</f>
        <v>0.564285714285714</v>
      </c>
      <c r="O26" s="2" t="n">
        <f aca="false">1-SUMPRODUCT(ABS(Ongebruikt!$AH$26:$AU$26-Gebruikt!$AH$13:$AU$13))/14</f>
        <v>0.828571428571429</v>
      </c>
      <c r="P26" s="2" t="n">
        <f aca="false">1-SUMPRODUCT(ABS(Ongebruikt!$AH$26:$AU$26-Gebruikt!$AH$14:$AU$14))/14</f>
        <v>0.671428571428572</v>
      </c>
      <c r="Q26" s="2" t="n">
        <f aca="false">1-SUMPRODUCT(ABS(Ongebruikt!$AH$26:$AU$26-Gebruikt!$AH$15:$AU$15))/14</f>
        <v>0.742857142857143</v>
      </c>
      <c r="R26" s="2" t="n">
        <f aca="false">1-SUMPRODUCT(ABS(Ongebruikt!$AH$26:$AU$26-Gebruikt!$AH$16:$AU$16))/14</f>
        <v>0.742857142857143</v>
      </c>
      <c r="S26" s="2" t="n">
        <f aca="false">1-SUMPRODUCT(ABS(Ongebruikt!$AH$26:$AU$26-Gebruikt!$AH$17:$AU$17))/14</f>
        <v>0.664285714285714</v>
      </c>
      <c r="T26" s="2" t="n">
        <f aca="false">1-SUMPRODUCT(ABS(Ongebruikt!$AH$26:$AU$26-Gebruikt!$AH$18:$AU$18))/14</f>
        <v>0.8</v>
      </c>
      <c r="U26" s="2" t="n">
        <f aca="false">1-SUMPRODUCT(ABS(Ongebruikt!$AH$26:$AU$26-Gebruikt!$AH$19:$AU$19))/14</f>
        <v>0.885714285714286</v>
      </c>
      <c r="V26" s="2" t="n">
        <f aca="false">1-SUMPRODUCT(ABS(Ongebruikt!$AH$26:$AU$26-Gebruikt!$AH$20:$AU$20))/14</f>
        <v>0.6</v>
      </c>
      <c r="W26" s="2" t="n">
        <f aca="false">1-SUMPRODUCT(ABS(Ongebruikt!$AH$26:$AU$26-Gebruikt!$AH$21:$AU$21))/14</f>
        <v>0.742857142857143</v>
      </c>
      <c r="X26" s="2" t="n">
        <f aca="false">1-SUMPRODUCT(ABS(Ongebruikt!$AH$26:$AU$26-Gebruikt!$AH$22:$AU$22))/14</f>
        <v>0.792857142857143</v>
      </c>
      <c r="Y26" s="2" t="n">
        <f aca="false">1-SUMPRODUCT(ABS(Ongebruikt!$AH$26:$AU$26-Gebruikt!$AH$23:$AU$23))/14</f>
        <v>0.778571428571429</v>
      </c>
      <c r="Z26" s="2" t="n">
        <f aca="false">1-SUMPRODUCT(ABS(Ongebruikt!$AH$26:$AU$26-Gebruikt!$AH$24:$AU$24))/14</f>
        <v>0.778571428571429</v>
      </c>
      <c r="AA26" s="2" t="n">
        <f aca="false">1-SUMPRODUCT(ABS(Ongebruikt!$AH$26:$AU$26-Gebruikt!$AH$25:$AU$25))/14</f>
        <v>0.971428571428571</v>
      </c>
      <c r="AB26" s="2" t="n">
        <f aca="false">1-SUMPRODUCT(ABS(Ongebruikt!$AH$26:$AU$26-Gebruikt!$AH$26:$AU$26))/14</f>
        <v>0.828571428571429</v>
      </c>
      <c r="AC26" s="2" t="n">
        <f aca="false">1-SUMPRODUCT(ABS(Ongebruikt!$AH$26:$AU$26-Gebruikt!$AH$27:$AU$27))/14</f>
        <v>0.9</v>
      </c>
      <c r="AD26" s="2" t="n">
        <f aca="false">1-SUMPRODUCT(ABS(Ongebruikt!$AH$26:$AU$26-Gebruikt!$AH$28:$AU$28))/14</f>
        <v>0.828571428571429</v>
      </c>
      <c r="AE26" s="2" t="n">
        <f aca="false">1-SUMPRODUCT(ABS(Ongebruikt!$AH$26:$AU$26-Gebruikt!$AH$29:$AU$29))/14</f>
        <v>0.635714285714286</v>
      </c>
      <c r="AF26" s="2" t="n">
        <f aca="false">1-SUMPRODUCT(ABS(Ongebruikt!$AH$26:$AU$26-Gebruikt!$AH$30:$AU$30))/14</f>
        <v>0.578571428571429</v>
      </c>
      <c r="AG26" s="2" t="n">
        <f aca="false">1-SUMPRODUCT(ABS(Ongebruikt!$AH$26:$AU$26-Gebruikt!$AH$31:$AU$31))/14</f>
        <v>0.871428571428571</v>
      </c>
      <c r="AH26" s="2" t="n">
        <f aca="false">1-SUMPRODUCT(ABS(Ongebruikt!$AH$26:$AU$26-Gebruikt!$AH$32:$AU$32))/14</f>
        <v>0.8</v>
      </c>
      <c r="AI26" s="2" t="n">
        <f aca="false">1-SUMPRODUCT(ABS(Ongebruikt!$AH$26:$AU$26-Gebruikt!$AH$33:$AU$33))/14</f>
        <v>0.635714285714286</v>
      </c>
      <c r="AJ26" s="2" t="n">
        <f aca="false">1-SUMPRODUCT(ABS(Ongebruikt!$AH$26:$AU$26-Gebruikt!$AH$34:$AU$34))/14</f>
        <v>0.742857142857143</v>
      </c>
      <c r="AK26" s="2" t="n">
        <f aca="false">1-SUMPRODUCT(ABS(Ongebruikt!$AH$26:$AU$26-Gebruikt!$AH$35:$AU$35))/14</f>
        <v>0.778571428571429</v>
      </c>
      <c r="AL26" s="2" t="n">
        <f aca="false">1-SUMPRODUCT(ABS(Ongebruikt!$AH$26:$AU$26-Gebruikt!$AH$36:$AU$36))/14</f>
        <v>0.871428571428571</v>
      </c>
      <c r="AM26" s="2" t="n">
        <f aca="false">1-SUMPRODUCT(ABS(Ongebruikt!$AH$26:$AU$26-Gebruikt!$AH$37:$AU$37))/14</f>
        <v>0.728571428571429</v>
      </c>
      <c r="AN26" s="2" t="n">
        <f aca="false">1-SUMPRODUCT(ABS(Ongebruikt!$AH$26:$AU$26-Gebruikt!$AH$38:$AU$38))/14</f>
        <v>0.635714285714286</v>
      </c>
      <c r="AO26" s="2" t="n">
        <f aca="false">1-SUMPRODUCT(ABS(Ongebruikt!$AH$26:$AU$26-Gebruikt!$AH$39:$AU$39))/14</f>
        <v>0.742857142857143</v>
      </c>
      <c r="AP26" s="2" t="n">
        <f aca="false">1-SUMPRODUCT(ABS(Ongebruikt!$AH$26:$AU$26-Gebruikt!$AH$40:$AU$40))/14</f>
        <v>0.6</v>
      </c>
      <c r="AQ26" s="2" t="n">
        <f aca="false">1-SUMPRODUCT(ABS(Ongebruikt!$AH$26:$AU$26-Gebruikt!$AH$41:$AU$41))/14</f>
        <v>0.65</v>
      </c>
      <c r="AR26" s="2" t="n">
        <f aca="false">1-SUMPRODUCT(ABS(Ongebruikt!$AH$26:$AU$26-Gebruikt!$AH$42:$AU$42))/14</f>
        <v>0.6</v>
      </c>
      <c r="AS26" s="2" t="n">
        <f aca="false">1-SUMPRODUCT(ABS(Ongebruikt!$AH$26:$AU$26-Gebruikt!$AH$43:$AU$43))/14</f>
        <v>0.664285714285714</v>
      </c>
      <c r="AT26" s="2" t="n">
        <f aca="false">1-SUMPRODUCT(ABS(Ongebruikt!$AH$26:$AU$26-Gebruikt!$AH$44:$AU$44))/14</f>
        <v>0.807142857142857</v>
      </c>
      <c r="AU26" s="2" t="n">
        <f aca="false">1-SUMPRODUCT(ABS(Ongebruikt!$AH$26:$AU$26-Gebruikt!$AH$45:$AU$45))/14</f>
        <v>0.664285714285714</v>
      </c>
      <c r="AV26" s="2" t="n">
        <f aca="false">1-SUMPRODUCT(ABS(Ongebruikt!$AH$26:$AU$26-Gebruikt!$AH$46:$AU$46))/14</f>
        <v>0.935714285714286</v>
      </c>
      <c r="AW26" s="2" t="n">
        <f aca="false">1-SUMPRODUCT(ABS(Ongebruikt!$AH$26:$AU$26-Gebruikt!$AH$47:$AU$47))/14</f>
        <v>0.6</v>
      </c>
      <c r="AX26" s="2" t="n">
        <f aca="false">1-SUMPRODUCT(ABS(Ongebruikt!$AH$26:$AU$26-Gebruikt!$AH$48:$AU$48))/14</f>
        <v>0.664285714285714</v>
      </c>
    </row>
    <row r="27" customFormat="false" ht="15" hidden="false" customHeight="false" outlineLevel="0" collapsed="false">
      <c r="A27" s="8" t="str">
        <f aca="false">Ongebruikt!A27</f>
        <v>U24</v>
      </c>
      <c r="B27" s="8" t="str">
        <f aca="false">Ongebruikt!B27</f>
        <v>CDKM / Cuccaro ripple adder (1 ancilla)</v>
      </c>
      <c r="C27" s="2" t="n">
        <f aca="false">1-D27</f>
        <v>0.0428571428571428</v>
      </c>
      <c r="D27" s="2" t="n">
        <f aca="false">MAX(F27:AX27)</f>
        <v>0.957142857142857</v>
      </c>
      <c r="E27" s="2" t="str">
        <f aca="false">INDEX(Gebruikt!$B$4:$B$48,MATCH(D27,F27:AX27,0))</f>
        <v>Karatsuba squaring (recursive, in place)</v>
      </c>
      <c r="F27" s="2" t="n">
        <f aca="false">1-SUMPRODUCT(ABS(Ongebruikt!$AH$27:$AU$27-Gebruikt!$AH$4:$AU$4))/14</f>
        <v>0.785714285714286</v>
      </c>
      <c r="G27" s="2" t="n">
        <f aca="false">1-SUMPRODUCT(ABS(Ongebruikt!$AH$27:$AU$27-Gebruikt!$AH$5:$AU$5))/14</f>
        <v>0.728571428571429</v>
      </c>
      <c r="H27" s="2" t="n">
        <f aca="false">1-SUMPRODUCT(ABS(Ongebruikt!$AH$27:$AU$27-Gebruikt!$AH$6:$AU$6))/14</f>
        <v>0.728571428571429</v>
      </c>
      <c r="I27" s="2" t="n">
        <f aca="false">1-SUMPRODUCT(ABS(Ongebruikt!$AH$27:$AU$27-Gebruikt!$AH$7:$AU$7))/14</f>
        <v>0.657142857142857</v>
      </c>
      <c r="J27" s="2" t="n">
        <f aca="false">1-SUMPRODUCT(ABS(Ongebruikt!$AH$27:$AU$27-Gebruikt!$AH$8:$AU$8))/14</f>
        <v>0.764285714285714</v>
      </c>
      <c r="K27" s="2" t="n">
        <f aca="false">1-SUMPRODUCT(ABS(Ongebruikt!$AH$27:$AU$27-Gebruikt!$AH$9:$AU$9))/14</f>
        <v>0.585714285714286</v>
      </c>
      <c r="L27" s="2" t="n">
        <f aca="false">1-SUMPRODUCT(ABS(Ongebruikt!$AH$27:$AU$27-Gebruikt!$AH$10:$AU$10))/14</f>
        <v>0.585714285714286</v>
      </c>
      <c r="M27" s="2" t="n">
        <f aca="false">1-SUMPRODUCT(ABS(Ongebruikt!$AH$27:$AU$27-Gebruikt!$AH$11:$AU$11))/14</f>
        <v>0.585714285714286</v>
      </c>
      <c r="N27" s="2" t="n">
        <f aca="false">1-SUMPRODUCT(ABS(Ongebruikt!$AH$27:$AU$27-Gebruikt!$AH$12:$AU$12))/14</f>
        <v>0.55</v>
      </c>
      <c r="O27" s="2" t="n">
        <f aca="false">1-SUMPRODUCT(ABS(Ongebruikt!$AH$27:$AU$27-Gebruikt!$AH$13:$AU$13))/14</f>
        <v>0.814285714285714</v>
      </c>
      <c r="P27" s="2" t="n">
        <f aca="false">1-SUMPRODUCT(ABS(Ongebruikt!$AH$27:$AU$27-Gebruikt!$AH$14:$AU$14))/14</f>
        <v>0.657142857142857</v>
      </c>
      <c r="Q27" s="2" t="n">
        <f aca="false">1-SUMPRODUCT(ABS(Ongebruikt!$AH$27:$AU$27-Gebruikt!$AH$15:$AU$15))/14</f>
        <v>0.728571428571429</v>
      </c>
      <c r="R27" s="2" t="n">
        <f aca="false">1-SUMPRODUCT(ABS(Ongebruikt!$AH$27:$AU$27-Gebruikt!$AH$16:$AU$16))/14</f>
        <v>0.728571428571429</v>
      </c>
      <c r="S27" s="2" t="n">
        <f aca="false">1-SUMPRODUCT(ABS(Ongebruikt!$AH$27:$AU$27-Gebruikt!$AH$17:$AU$17))/14</f>
        <v>0.621428571428571</v>
      </c>
      <c r="T27" s="2" t="n">
        <f aca="false">1-SUMPRODUCT(ABS(Ongebruikt!$AH$27:$AU$27-Gebruikt!$AH$18:$AU$18))/14</f>
        <v>0.785714285714286</v>
      </c>
      <c r="U27" s="2" t="n">
        <f aca="false">1-SUMPRODUCT(ABS(Ongebruikt!$AH$27:$AU$27-Gebruikt!$AH$19:$AU$19))/14</f>
        <v>0.871428571428571</v>
      </c>
      <c r="V27" s="2" t="n">
        <f aca="false">1-SUMPRODUCT(ABS(Ongebruikt!$AH$27:$AU$27-Gebruikt!$AH$20:$AU$20))/14</f>
        <v>0.585714285714286</v>
      </c>
      <c r="W27" s="2" t="n">
        <f aca="false">1-SUMPRODUCT(ABS(Ongebruikt!$AH$27:$AU$27-Gebruikt!$AH$21:$AU$21))/14</f>
        <v>0.728571428571429</v>
      </c>
      <c r="X27" s="2" t="n">
        <f aca="false">1-SUMPRODUCT(ABS(Ongebruikt!$AH$27:$AU$27-Gebruikt!$AH$22:$AU$22))/14</f>
        <v>0.807142857142857</v>
      </c>
      <c r="Y27" s="2" t="n">
        <f aca="false">1-SUMPRODUCT(ABS(Ongebruikt!$AH$27:$AU$27-Gebruikt!$AH$23:$AU$23))/14</f>
        <v>0.764285714285714</v>
      </c>
      <c r="Z27" s="2" t="n">
        <f aca="false">1-SUMPRODUCT(ABS(Ongebruikt!$AH$27:$AU$27-Gebruikt!$AH$24:$AU$24))/14</f>
        <v>0.764285714285714</v>
      </c>
      <c r="AA27" s="2" t="n">
        <f aca="false">1-SUMPRODUCT(ABS(Ongebruikt!$AH$27:$AU$27-Gebruikt!$AH$25:$AU$25))/14</f>
        <v>0.957142857142857</v>
      </c>
      <c r="AB27" s="2" t="n">
        <f aca="false">1-SUMPRODUCT(ABS(Ongebruikt!$AH$27:$AU$27-Gebruikt!$AH$26:$AU$26))/14</f>
        <v>0.814285714285714</v>
      </c>
      <c r="AC27" s="2" t="n">
        <f aca="false">1-SUMPRODUCT(ABS(Ongebruikt!$AH$27:$AU$27-Gebruikt!$AH$27:$AU$27))/14</f>
        <v>0.885714285714286</v>
      </c>
      <c r="AD27" s="2" t="n">
        <f aca="false">1-SUMPRODUCT(ABS(Ongebruikt!$AH$27:$AU$27-Gebruikt!$AH$28:$AU$28))/14</f>
        <v>0.814285714285714</v>
      </c>
      <c r="AE27" s="2" t="n">
        <f aca="false">1-SUMPRODUCT(ABS(Ongebruikt!$AH$27:$AU$27-Gebruikt!$AH$29:$AU$29))/14</f>
        <v>0.621428571428571</v>
      </c>
      <c r="AF27" s="2" t="n">
        <f aca="false">1-SUMPRODUCT(ABS(Ongebruikt!$AH$27:$AU$27-Gebruikt!$AH$30:$AU$30))/14</f>
        <v>0.564285714285714</v>
      </c>
      <c r="AG27" s="2" t="n">
        <f aca="false">1-SUMPRODUCT(ABS(Ongebruikt!$AH$27:$AU$27-Gebruikt!$AH$31:$AU$31))/14</f>
        <v>0.857142857142857</v>
      </c>
      <c r="AH27" s="2" t="n">
        <f aca="false">1-SUMPRODUCT(ABS(Ongebruikt!$AH$27:$AU$27-Gebruikt!$AH$32:$AU$32))/14</f>
        <v>0.785714285714286</v>
      </c>
      <c r="AI27" s="2" t="n">
        <f aca="false">1-SUMPRODUCT(ABS(Ongebruikt!$AH$27:$AU$27-Gebruikt!$AH$33:$AU$33))/14</f>
        <v>0.621428571428571</v>
      </c>
      <c r="AJ27" s="2" t="n">
        <f aca="false">1-SUMPRODUCT(ABS(Ongebruikt!$AH$27:$AU$27-Gebruikt!$AH$34:$AU$34))/14</f>
        <v>0.728571428571429</v>
      </c>
      <c r="AK27" s="2" t="n">
        <f aca="false">1-SUMPRODUCT(ABS(Ongebruikt!$AH$27:$AU$27-Gebruikt!$AH$35:$AU$35))/14</f>
        <v>0.764285714285714</v>
      </c>
      <c r="AL27" s="2" t="n">
        <f aca="false">1-SUMPRODUCT(ABS(Ongebruikt!$AH$27:$AU$27-Gebruikt!$AH$36:$AU$36))/14</f>
        <v>0.857142857142857</v>
      </c>
      <c r="AM27" s="2" t="n">
        <f aca="false">1-SUMPRODUCT(ABS(Ongebruikt!$AH$27:$AU$27-Gebruikt!$AH$37:$AU$37))/14</f>
        <v>0.714285714285714</v>
      </c>
      <c r="AN27" s="2" t="n">
        <f aca="false">1-SUMPRODUCT(ABS(Ongebruikt!$AH$27:$AU$27-Gebruikt!$AH$38:$AU$38))/14</f>
        <v>0.621428571428571</v>
      </c>
      <c r="AO27" s="2" t="n">
        <f aca="false">1-SUMPRODUCT(ABS(Ongebruikt!$AH$27:$AU$27-Gebruikt!$AH$39:$AU$39))/14</f>
        <v>0.728571428571429</v>
      </c>
      <c r="AP27" s="2" t="n">
        <f aca="false">1-SUMPRODUCT(ABS(Ongebruikt!$AH$27:$AU$27-Gebruikt!$AH$40:$AU$40))/14</f>
        <v>0.585714285714286</v>
      </c>
      <c r="AQ27" s="2" t="n">
        <f aca="false">1-SUMPRODUCT(ABS(Ongebruikt!$AH$27:$AU$27-Gebruikt!$AH$41:$AU$41))/14</f>
        <v>0.635714285714286</v>
      </c>
      <c r="AR27" s="2" t="n">
        <f aca="false">1-SUMPRODUCT(ABS(Ongebruikt!$AH$27:$AU$27-Gebruikt!$AH$42:$AU$42))/14</f>
        <v>0.585714285714286</v>
      </c>
      <c r="AS27" s="2" t="n">
        <f aca="false">1-SUMPRODUCT(ABS(Ongebruikt!$AH$27:$AU$27-Gebruikt!$AH$43:$AU$43))/14</f>
        <v>0.621428571428571</v>
      </c>
      <c r="AT27" s="2" t="n">
        <f aca="false">1-SUMPRODUCT(ABS(Ongebruikt!$AH$27:$AU$27-Gebruikt!$AH$44:$AU$44))/14</f>
        <v>0.764285714285714</v>
      </c>
      <c r="AU27" s="2" t="n">
        <f aca="false">1-SUMPRODUCT(ABS(Ongebruikt!$AH$27:$AU$27-Gebruikt!$AH$45:$AU$45))/14</f>
        <v>0.621428571428571</v>
      </c>
      <c r="AV27" s="2" t="n">
        <f aca="false">1-SUMPRODUCT(ABS(Ongebruikt!$AH$27:$AU$27-Gebruikt!$AH$46:$AU$46))/14</f>
        <v>0.95</v>
      </c>
      <c r="AW27" s="2" t="n">
        <f aca="false">1-SUMPRODUCT(ABS(Ongebruikt!$AH$27:$AU$27-Gebruikt!$AH$47:$AU$47))/14</f>
        <v>0.585714285714286</v>
      </c>
      <c r="AX27" s="2" t="n">
        <f aca="false">1-SUMPRODUCT(ABS(Ongebruikt!$AH$27:$AU$27-Gebruikt!$AH$48:$AU$48))/14</f>
        <v>0.621428571428571</v>
      </c>
    </row>
    <row r="28" customFormat="false" ht="15" hidden="false" customHeight="false" outlineLevel="0" collapsed="false">
      <c r="A28" s="8" t="str">
        <f aca="false">Ongebruikt!A28</f>
        <v>U25</v>
      </c>
      <c r="B28" s="8" t="str">
        <f aca="false">Ongebruikt!B28</f>
        <v>Dirty-ancilla arithmetic (Haner 2n+2)</v>
      </c>
      <c r="C28" s="2" t="n">
        <f aca="false">1-D28</f>
        <v>0.114285714285714</v>
      </c>
      <c r="D28" s="2" t="n">
        <f aca="false">MAX(F28:AX28)</f>
        <v>0.885714285714286</v>
      </c>
      <c r="E28" s="2" t="str">
        <f aca="false">INDEX(Gebruikt!$B$4:$B$48,MATCH(D28,F28:AX28,0))</f>
        <v>Joint-pin peak analysis / peak-owner tracing and qubit-cap retuning</v>
      </c>
      <c r="F28" s="2" t="n">
        <f aca="false">1-SUMPRODUCT(ABS(Ongebruikt!$AH$28:$AU$28-Gebruikt!$AH$4:$AU$4))/14</f>
        <v>0.75</v>
      </c>
      <c r="G28" s="2" t="n">
        <f aca="false">1-SUMPRODUCT(ABS(Ongebruikt!$AH$28:$AU$28-Gebruikt!$AH$5:$AU$5))/14</f>
        <v>0.85</v>
      </c>
      <c r="H28" s="2" t="n">
        <f aca="false">1-SUMPRODUCT(ABS(Ongebruikt!$AH$28:$AU$28-Gebruikt!$AH$6:$AU$6))/14</f>
        <v>0.85</v>
      </c>
      <c r="I28" s="2" t="n">
        <f aca="false">1-SUMPRODUCT(ABS(Ongebruikt!$AH$28:$AU$28-Gebruikt!$AH$7:$AU$7))/14</f>
        <v>0.778571428571429</v>
      </c>
      <c r="J28" s="2" t="n">
        <f aca="false">1-SUMPRODUCT(ABS(Ongebruikt!$AH$28:$AU$28-Gebruikt!$AH$8:$AU$8))/14</f>
        <v>0.885714285714286</v>
      </c>
      <c r="K28" s="2" t="n">
        <f aca="false">1-SUMPRODUCT(ABS(Ongebruikt!$AH$28:$AU$28-Gebruikt!$AH$9:$AU$9))/14</f>
        <v>0.678571428571429</v>
      </c>
      <c r="L28" s="2" t="n">
        <f aca="false">1-SUMPRODUCT(ABS(Ongebruikt!$AH$28:$AU$28-Gebruikt!$AH$10:$AU$10))/14</f>
        <v>0.678571428571429</v>
      </c>
      <c r="M28" s="2" t="n">
        <f aca="false">1-SUMPRODUCT(ABS(Ongebruikt!$AH$28:$AU$28-Gebruikt!$AH$11:$AU$11))/14</f>
        <v>0.678571428571429</v>
      </c>
      <c r="N28" s="2" t="n">
        <f aca="false">1-SUMPRODUCT(ABS(Ongebruikt!$AH$28:$AU$28-Gebruikt!$AH$12:$AU$12))/14</f>
        <v>0.642857142857143</v>
      </c>
      <c r="O28" s="2" t="n">
        <f aca="false">1-SUMPRODUCT(ABS(Ongebruikt!$AH$28:$AU$28-Gebruikt!$AH$13:$AU$13))/14</f>
        <v>0.721428571428571</v>
      </c>
      <c r="P28" s="2" t="n">
        <f aca="false">1-SUMPRODUCT(ABS(Ongebruikt!$AH$28:$AU$28-Gebruikt!$AH$14:$AU$14))/14</f>
        <v>0.75</v>
      </c>
      <c r="Q28" s="2" t="n">
        <f aca="false">1-SUMPRODUCT(ABS(Ongebruikt!$AH$28:$AU$28-Gebruikt!$AH$15:$AU$15))/14</f>
        <v>0.821428571428571</v>
      </c>
      <c r="R28" s="2" t="n">
        <f aca="false">1-SUMPRODUCT(ABS(Ongebruikt!$AH$28:$AU$28-Gebruikt!$AH$16:$AU$16))/14</f>
        <v>0.821428571428571</v>
      </c>
      <c r="S28" s="2" t="n">
        <f aca="false">1-SUMPRODUCT(ABS(Ongebruikt!$AH$28:$AU$28-Gebruikt!$AH$17:$AU$17))/14</f>
        <v>0.742857142857143</v>
      </c>
      <c r="T28" s="2" t="n">
        <f aca="false">1-SUMPRODUCT(ABS(Ongebruikt!$AH$28:$AU$28-Gebruikt!$AH$18:$AU$18))/14</f>
        <v>0.75</v>
      </c>
      <c r="U28" s="2" t="n">
        <f aca="false">1-SUMPRODUCT(ABS(Ongebruikt!$AH$28:$AU$28-Gebruikt!$AH$19:$AU$19))/14</f>
        <v>0.778571428571429</v>
      </c>
      <c r="V28" s="2" t="n">
        <f aca="false">1-SUMPRODUCT(ABS(Ongebruikt!$AH$28:$AU$28-Gebruikt!$AH$20:$AU$20))/14</f>
        <v>0.678571428571429</v>
      </c>
      <c r="W28" s="2" t="n">
        <f aca="false">1-SUMPRODUCT(ABS(Ongebruikt!$AH$28:$AU$28-Gebruikt!$AH$21:$AU$21))/14</f>
        <v>0.85</v>
      </c>
      <c r="X28" s="2" t="n">
        <f aca="false">1-SUMPRODUCT(ABS(Ongebruikt!$AH$28:$AU$28-Gebruikt!$AH$22:$AU$22))/14</f>
        <v>0.657142857142857</v>
      </c>
      <c r="Y28" s="2" t="n">
        <f aca="false">1-SUMPRODUCT(ABS(Ongebruikt!$AH$28:$AU$28-Gebruikt!$AH$23:$AU$23))/14</f>
        <v>0.885714285714286</v>
      </c>
      <c r="Z28" s="2" t="n">
        <f aca="false">1-SUMPRODUCT(ABS(Ongebruikt!$AH$28:$AU$28-Gebruikt!$AH$24:$AU$24))/14</f>
        <v>0.885714285714286</v>
      </c>
      <c r="AA28" s="2" t="n">
        <f aca="false">1-SUMPRODUCT(ABS(Ongebruikt!$AH$28:$AU$28-Gebruikt!$AH$25:$AU$25))/14</f>
        <v>0.864285714285714</v>
      </c>
      <c r="AB28" s="2" t="n">
        <f aca="false">1-SUMPRODUCT(ABS(Ongebruikt!$AH$28:$AU$28-Gebruikt!$AH$26:$AU$26))/14</f>
        <v>0.721428571428571</v>
      </c>
      <c r="AC28" s="2" t="n">
        <f aca="false">1-SUMPRODUCT(ABS(Ongebruikt!$AH$28:$AU$28-Gebruikt!$AH$27:$AU$27))/14</f>
        <v>0.792857142857143</v>
      </c>
      <c r="AD28" s="2" t="n">
        <f aca="false">1-SUMPRODUCT(ABS(Ongebruikt!$AH$28:$AU$28-Gebruikt!$AH$28:$AU$28))/14</f>
        <v>0.721428571428571</v>
      </c>
      <c r="AE28" s="2" t="n">
        <f aca="false">1-SUMPRODUCT(ABS(Ongebruikt!$AH$28:$AU$28-Gebruikt!$AH$29:$AU$29))/14</f>
        <v>0.742857142857143</v>
      </c>
      <c r="AF28" s="2" t="n">
        <f aca="false">1-SUMPRODUCT(ABS(Ongebruikt!$AH$28:$AU$28-Gebruikt!$AH$30:$AU$30))/14</f>
        <v>0.657142857142857</v>
      </c>
      <c r="AG28" s="2" t="n">
        <f aca="false">1-SUMPRODUCT(ABS(Ongebruikt!$AH$28:$AU$28-Gebruikt!$AH$31:$AU$31))/14</f>
        <v>0.821428571428571</v>
      </c>
      <c r="AH28" s="2" t="n">
        <f aca="false">1-SUMPRODUCT(ABS(Ongebruikt!$AH$28:$AU$28-Gebruikt!$AH$32:$AU$32))/14</f>
        <v>0.75</v>
      </c>
      <c r="AI28" s="2" t="n">
        <f aca="false">1-SUMPRODUCT(ABS(Ongebruikt!$AH$28:$AU$28-Gebruikt!$AH$33:$AU$33))/14</f>
        <v>0.742857142857143</v>
      </c>
      <c r="AJ28" s="2" t="n">
        <f aca="false">1-SUMPRODUCT(ABS(Ongebruikt!$AH$28:$AU$28-Gebruikt!$AH$34:$AU$34))/14</f>
        <v>0.85</v>
      </c>
      <c r="AK28" s="2" t="n">
        <f aca="false">1-SUMPRODUCT(ABS(Ongebruikt!$AH$28:$AU$28-Gebruikt!$AH$35:$AU$35))/14</f>
        <v>0.885714285714286</v>
      </c>
      <c r="AL28" s="2" t="n">
        <f aca="false">1-SUMPRODUCT(ABS(Ongebruikt!$AH$28:$AU$28-Gebruikt!$AH$36:$AU$36))/14</f>
        <v>0.821428571428571</v>
      </c>
      <c r="AM28" s="2" t="n">
        <f aca="false">1-SUMPRODUCT(ABS(Ongebruikt!$AH$28:$AU$28-Gebruikt!$AH$37:$AU$37))/14</f>
        <v>0.678571428571429</v>
      </c>
      <c r="AN28" s="2" t="n">
        <f aca="false">1-SUMPRODUCT(ABS(Ongebruikt!$AH$28:$AU$28-Gebruikt!$AH$38:$AU$38))/14</f>
        <v>0.742857142857143</v>
      </c>
      <c r="AO28" s="2" t="n">
        <f aca="false">1-SUMPRODUCT(ABS(Ongebruikt!$AH$28:$AU$28-Gebruikt!$AH$39:$AU$39))/14</f>
        <v>0.635714285714286</v>
      </c>
      <c r="AP28" s="2" t="n">
        <f aca="false">1-SUMPRODUCT(ABS(Ongebruikt!$AH$28:$AU$28-Gebruikt!$AH$40:$AU$40))/14</f>
        <v>0.678571428571429</v>
      </c>
      <c r="AQ28" s="2" t="n">
        <f aca="false">1-SUMPRODUCT(ABS(Ongebruikt!$AH$28:$AU$28-Gebruikt!$AH$41:$AU$41))/14</f>
        <v>0.728571428571429</v>
      </c>
      <c r="AR28" s="2" t="n">
        <f aca="false">1-SUMPRODUCT(ABS(Ongebruikt!$AH$28:$AU$28-Gebruikt!$AH$42:$AU$42))/14</f>
        <v>0.678571428571429</v>
      </c>
      <c r="AS28" s="2" t="n">
        <f aca="false">1-SUMPRODUCT(ABS(Ongebruikt!$AH$28:$AU$28-Gebruikt!$AH$43:$AU$43))/14</f>
        <v>0.742857142857143</v>
      </c>
      <c r="AT28" s="2" t="n">
        <f aca="false">1-SUMPRODUCT(ABS(Ongebruikt!$AH$28:$AU$28-Gebruikt!$AH$44:$AU$44))/14</f>
        <v>0.885714285714286</v>
      </c>
      <c r="AU28" s="2" t="n">
        <f aca="false">1-SUMPRODUCT(ABS(Ongebruikt!$AH$28:$AU$28-Gebruikt!$AH$45:$AU$45))/14</f>
        <v>0.742857142857143</v>
      </c>
      <c r="AV28" s="2" t="n">
        <f aca="false">1-SUMPRODUCT(ABS(Ongebruikt!$AH$28:$AU$28-Gebruikt!$AH$46:$AU$46))/14</f>
        <v>0.8</v>
      </c>
      <c r="AW28" s="2" t="n">
        <f aca="false">1-SUMPRODUCT(ABS(Ongebruikt!$AH$28:$AU$28-Gebruikt!$AH$47:$AU$47))/14</f>
        <v>0.678571428571429</v>
      </c>
      <c r="AX28" s="2" t="n">
        <f aca="false">1-SUMPRODUCT(ABS(Ongebruikt!$AH$28:$AU$28-Gebruikt!$AH$48:$AU$48))/14</f>
        <v>0.742857142857143</v>
      </c>
    </row>
    <row r="29" customFormat="false" ht="15" hidden="false" customHeight="false" outlineLevel="0" collapsed="false">
      <c r="A29" s="8" t="str">
        <f aca="false">Ongebruikt!A29</f>
        <v>U26</v>
      </c>
      <c r="B29" s="8" t="str">
        <f aca="false">Ongebruikt!B29</f>
        <v>Conditionally clean ancillae</v>
      </c>
      <c r="C29" s="2" t="n">
        <f aca="false">1-D29</f>
        <v>0.0142857142857142</v>
      </c>
      <c r="D29" s="2" t="n">
        <f aca="false">MAX(F29:AX29)</f>
        <v>0.985714285714286</v>
      </c>
      <c r="E29" s="2" t="str">
        <f aca="false">INDEX(Gebruikt!$B$4:$B$48,MATCH(D29,F29:AX29,0))</f>
        <v>Joint-pin peak analysis / peak-owner tracing and qubit-cap retuning</v>
      </c>
      <c r="F29" s="2" t="n">
        <f aca="false">1-SUMPRODUCT(ABS(Ongebruikt!$AH$29:$AU$29-Gebruikt!$AH$4:$AU$4))/14</f>
        <v>0.65</v>
      </c>
      <c r="G29" s="2" t="n">
        <f aca="false">1-SUMPRODUCT(ABS(Ongebruikt!$AH$29:$AU$29-Gebruikt!$AH$5:$AU$5))/14</f>
        <v>0.95</v>
      </c>
      <c r="H29" s="2" t="n">
        <f aca="false">1-SUMPRODUCT(ABS(Ongebruikt!$AH$29:$AU$29-Gebruikt!$AH$6:$AU$6))/14</f>
        <v>0.95</v>
      </c>
      <c r="I29" s="2" t="n">
        <f aca="false">1-SUMPRODUCT(ABS(Ongebruikt!$AH$29:$AU$29-Gebruikt!$AH$7:$AU$7))/14</f>
        <v>0.807142857142857</v>
      </c>
      <c r="J29" s="2" t="n">
        <f aca="false">1-SUMPRODUCT(ABS(Ongebruikt!$AH$29:$AU$29-Gebruikt!$AH$8:$AU$8))/14</f>
        <v>0.985714285714286</v>
      </c>
      <c r="K29" s="2" t="n">
        <f aca="false">1-SUMPRODUCT(ABS(Ongebruikt!$AH$29:$AU$29-Gebruikt!$AH$9:$AU$9))/14</f>
        <v>0.778571428571429</v>
      </c>
      <c r="L29" s="2" t="n">
        <f aca="false">1-SUMPRODUCT(ABS(Ongebruikt!$AH$29:$AU$29-Gebruikt!$AH$10:$AU$10))/14</f>
        <v>0.778571428571429</v>
      </c>
      <c r="M29" s="2" t="n">
        <f aca="false">1-SUMPRODUCT(ABS(Ongebruikt!$AH$29:$AU$29-Gebruikt!$AH$11:$AU$11))/14</f>
        <v>0.778571428571429</v>
      </c>
      <c r="N29" s="2" t="n">
        <f aca="false">1-SUMPRODUCT(ABS(Ongebruikt!$AH$29:$AU$29-Gebruikt!$AH$12:$AU$12))/14</f>
        <v>0.671428571428572</v>
      </c>
      <c r="O29" s="2" t="n">
        <f aca="false">1-SUMPRODUCT(ABS(Ongebruikt!$AH$29:$AU$29-Gebruikt!$AH$13:$AU$13))/14</f>
        <v>0.678571428571429</v>
      </c>
      <c r="P29" s="2" t="n">
        <f aca="false">1-SUMPRODUCT(ABS(Ongebruikt!$AH$29:$AU$29-Gebruikt!$AH$14:$AU$14))/14</f>
        <v>0.85</v>
      </c>
      <c r="Q29" s="2" t="n">
        <f aca="false">1-SUMPRODUCT(ABS(Ongebruikt!$AH$29:$AU$29-Gebruikt!$AH$15:$AU$15))/14</f>
        <v>0.921428571428571</v>
      </c>
      <c r="R29" s="2" t="n">
        <f aca="false">1-SUMPRODUCT(ABS(Ongebruikt!$AH$29:$AU$29-Gebruikt!$AH$16:$AU$16))/14</f>
        <v>0.921428571428571</v>
      </c>
      <c r="S29" s="2" t="n">
        <f aca="false">1-SUMPRODUCT(ABS(Ongebruikt!$AH$29:$AU$29-Gebruikt!$AH$17:$AU$17))/14</f>
        <v>0.771428571428571</v>
      </c>
      <c r="T29" s="2" t="n">
        <f aca="false">1-SUMPRODUCT(ABS(Ongebruikt!$AH$29:$AU$29-Gebruikt!$AH$18:$AU$18))/14</f>
        <v>0.65</v>
      </c>
      <c r="U29" s="2" t="n">
        <f aca="false">1-SUMPRODUCT(ABS(Ongebruikt!$AH$29:$AU$29-Gebruikt!$AH$19:$AU$19))/14</f>
        <v>0.735714285714286</v>
      </c>
      <c r="V29" s="2" t="n">
        <f aca="false">1-SUMPRODUCT(ABS(Ongebruikt!$AH$29:$AU$29-Gebruikt!$AH$20:$AU$20))/14</f>
        <v>0.778571428571429</v>
      </c>
      <c r="W29" s="2" t="n">
        <f aca="false">1-SUMPRODUCT(ABS(Ongebruikt!$AH$29:$AU$29-Gebruikt!$AH$21:$AU$21))/14</f>
        <v>0.95</v>
      </c>
      <c r="X29" s="2" t="n">
        <f aca="false">1-SUMPRODUCT(ABS(Ongebruikt!$AH$29:$AU$29-Gebruikt!$AH$22:$AU$22))/14</f>
        <v>0.685714285714286</v>
      </c>
      <c r="Y29" s="2" t="n">
        <f aca="false">1-SUMPRODUCT(ABS(Ongebruikt!$AH$29:$AU$29-Gebruikt!$AH$23:$AU$23))/14</f>
        <v>0.985714285714286</v>
      </c>
      <c r="Z29" s="2" t="n">
        <f aca="false">1-SUMPRODUCT(ABS(Ongebruikt!$AH$29:$AU$29-Gebruikt!$AH$24:$AU$24))/14</f>
        <v>0.985714285714286</v>
      </c>
      <c r="AA29" s="2" t="n">
        <f aca="false">1-SUMPRODUCT(ABS(Ongebruikt!$AH$29:$AU$29-Gebruikt!$AH$25:$AU$25))/14</f>
        <v>0.792857142857143</v>
      </c>
      <c r="AB29" s="2" t="n">
        <f aca="false">1-SUMPRODUCT(ABS(Ongebruikt!$AH$29:$AU$29-Gebruikt!$AH$26:$AU$26))/14</f>
        <v>0.65</v>
      </c>
      <c r="AC29" s="2" t="n">
        <f aca="false">1-SUMPRODUCT(ABS(Ongebruikt!$AH$29:$AU$29-Gebruikt!$AH$27:$AU$27))/14</f>
        <v>0.75</v>
      </c>
      <c r="AD29" s="2" t="n">
        <f aca="false">1-SUMPRODUCT(ABS(Ongebruikt!$AH$29:$AU$29-Gebruikt!$AH$28:$AU$28))/14</f>
        <v>0.678571428571429</v>
      </c>
      <c r="AE29" s="2" t="n">
        <f aca="false">1-SUMPRODUCT(ABS(Ongebruikt!$AH$29:$AU$29-Gebruikt!$AH$29:$AU$29))/14</f>
        <v>0.771428571428571</v>
      </c>
      <c r="AF29" s="2" t="n">
        <f aca="false">1-SUMPRODUCT(ABS(Ongebruikt!$AH$29:$AU$29-Gebruikt!$AH$30:$AU$30))/14</f>
        <v>0.685714285714286</v>
      </c>
      <c r="AG29" s="2" t="n">
        <f aca="false">1-SUMPRODUCT(ABS(Ongebruikt!$AH$29:$AU$29-Gebruikt!$AH$31:$AU$31))/14</f>
        <v>0.721428571428571</v>
      </c>
      <c r="AH29" s="2" t="n">
        <f aca="false">1-SUMPRODUCT(ABS(Ongebruikt!$AH$29:$AU$29-Gebruikt!$AH$32:$AU$32))/14</f>
        <v>0.65</v>
      </c>
      <c r="AI29" s="2" t="n">
        <f aca="false">1-SUMPRODUCT(ABS(Ongebruikt!$AH$29:$AU$29-Gebruikt!$AH$33:$AU$33))/14</f>
        <v>0.771428571428571</v>
      </c>
      <c r="AJ29" s="2" t="n">
        <f aca="false">1-SUMPRODUCT(ABS(Ongebruikt!$AH$29:$AU$29-Gebruikt!$AH$34:$AU$34))/14</f>
        <v>0.95</v>
      </c>
      <c r="AK29" s="2" t="n">
        <f aca="false">1-SUMPRODUCT(ABS(Ongebruikt!$AH$29:$AU$29-Gebruikt!$AH$35:$AU$35))/14</f>
        <v>0.985714285714286</v>
      </c>
      <c r="AL29" s="2" t="n">
        <f aca="false">1-SUMPRODUCT(ABS(Ongebruikt!$AH$29:$AU$29-Gebruikt!$AH$36:$AU$36))/14</f>
        <v>0.721428571428571</v>
      </c>
      <c r="AM29" s="2" t="n">
        <f aca="false">1-SUMPRODUCT(ABS(Ongebruikt!$AH$29:$AU$29-Gebruikt!$AH$37:$AU$37))/14</f>
        <v>0.578571428571429</v>
      </c>
      <c r="AN29" s="2" t="n">
        <f aca="false">1-SUMPRODUCT(ABS(Ongebruikt!$AH$29:$AU$29-Gebruikt!$AH$38:$AU$38))/14</f>
        <v>0.771428571428571</v>
      </c>
      <c r="AO29" s="2" t="n">
        <f aca="false">1-SUMPRODUCT(ABS(Ongebruikt!$AH$29:$AU$29-Gebruikt!$AH$39:$AU$39))/14</f>
        <v>0.592857142857143</v>
      </c>
      <c r="AP29" s="2" t="n">
        <f aca="false">1-SUMPRODUCT(ABS(Ongebruikt!$AH$29:$AU$29-Gebruikt!$AH$40:$AU$40))/14</f>
        <v>0.778571428571429</v>
      </c>
      <c r="AQ29" s="2" t="n">
        <f aca="false">1-SUMPRODUCT(ABS(Ongebruikt!$AH$29:$AU$29-Gebruikt!$AH$41:$AU$41))/14</f>
        <v>0.757142857142857</v>
      </c>
      <c r="AR29" s="2" t="n">
        <f aca="false">1-SUMPRODUCT(ABS(Ongebruikt!$AH$29:$AU$29-Gebruikt!$AH$42:$AU$42))/14</f>
        <v>0.778571428571429</v>
      </c>
      <c r="AS29" s="2" t="n">
        <f aca="false">1-SUMPRODUCT(ABS(Ongebruikt!$AH$29:$AU$29-Gebruikt!$AH$43:$AU$43))/14</f>
        <v>0.771428571428571</v>
      </c>
      <c r="AT29" s="2" t="n">
        <f aca="false">1-SUMPRODUCT(ABS(Ongebruikt!$AH$29:$AU$29-Gebruikt!$AH$44:$AU$44))/14</f>
        <v>0.914285714285714</v>
      </c>
      <c r="AU29" s="2" t="n">
        <f aca="false">1-SUMPRODUCT(ABS(Ongebruikt!$AH$29:$AU$29-Gebruikt!$AH$45:$AU$45))/14</f>
        <v>0.771428571428571</v>
      </c>
      <c r="AV29" s="2" t="n">
        <f aca="false">1-SUMPRODUCT(ABS(Ongebruikt!$AH$29:$AU$29-Gebruikt!$AH$46:$AU$46))/14</f>
        <v>0.828571428571429</v>
      </c>
      <c r="AW29" s="2" t="n">
        <f aca="false">1-SUMPRODUCT(ABS(Ongebruikt!$AH$29:$AU$29-Gebruikt!$AH$47:$AU$47))/14</f>
        <v>0.778571428571429</v>
      </c>
      <c r="AX29" s="2" t="n">
        <f aca="false">1-SUMPRODUCT(ABS(Ongebruikt!$AH$29:$AU$29-Gebruikt!$AH$48:$AU$48))/14</f>
        <v>0.771428571428571</v>
      </c>
    </row>
    <row r="30" customFormat="false" ht="15" hidden="false" customHeight="false" outlineLevel="0" collapsed="false">
      <c r="A30" s="8" t="str">
        <f aca="false">Ongebruikt!A30</f>
        <v>U27</v>
      </c>
      <c r="B30" s="8" t="str">
        <f aca="false">Ongebruikt!B30</f>
        <v>QROAM select-swap lookup</v>
      </c>
      <c r="C30" s="2" t="n">
        <f aca="false">1-D30</f>
        <v>0.185714285714286</v>
      </c>
      <c r="D30" s="2" t="n">
        <f aca="false">MAX(F30:AX30)</f>
        <v>0.814285714285714</v>
      </c>
      <c r="E30" s="2" t="str">
        <f aca="false">INDEX(Gebruikt!$B$4:$B$48,MATCH(D30,F30:AX30,0))</f>
        <v>Classical offset point held in classical bit registers</v>
      </c>
      <c r="F30" s="2" t="n">
        <f aca="false">1-SUMPRODUCT(ABS(Ongebruikt!$AH$30:$AU$30-Gebruikt!$AH$4:$AU$4))/14</f>
        <v>0.707142857142857</v>
      </c>
      <c r="G30" s="2" t="n">
        <f aca="false">1-SUMPRODUCT(ABS(Ongebruikt!$AH$30:$AU$30-Gebruikt!$AH$5:$AU$5))/14</f>
        <v>0.578571428571429</v>
      </c>
      <c r="H30" s="2" t="n">
        <f aca="false">1-SUMPRODUCT(ABS(Ongebruikt!$AH$30:$AU$30-Gebruikt!$AH$6:$AU$6))/14</f>
        <v>0.578571428571429</v>
      </c>
      <c r="I30" s="2" t="n">
        <f aca="false">1-SUMPRODUCT(ABS(Ongebruikt!$AH$30:$AU$30-Gebruikt!$AH$7:$AU$7))/14</f>
        <v>0.65</v>
      </c>
      <c r="J30" s="2" t="n">
        <f aca="false">1-SUMPRODUCT(ABS(Ongebruikt!$AH$30:$AU$30-Gebruikt!$AH$8:$AU$8))/14</f>
        <v>0.614285714285714</v>
      </c>
      <c r="K30" s="2" t="n">
        <f aca="false">1-SUMPRODUCT(ABS(Ongebruikt!$AH$30:$AU$30-Gebruikt!$AH$9:$AU$9))/14</f>
        <v>0.407142857142857</v>
      </c>
      <c r="L30" s="2" t="n">
        <f aca="false">1-SUMPRODUCT(ABS(Ongebruikt!$AH$30:$AU$30-Gebruikt!$AH$10:$AU$10))/14</f>
        <v>0.407142857142857</v>
      </c>
      <c r="M30" s="2" t="n">
        <f aca="false">1-SUMPRODUCT(ABS(Ongebruikt!$AH$30:$AU$30-Gebruikt!$AH$11:$AU$11))/14</f>
        <v>0.407142857142857</v>
      </c>
      <c r="N30" s="2" t="n">
        <f aca="false">1-SUMPRODUCT(ABS(Ongebruikt!$AH$30:$AU$30-Gebruikt!$AH$12:$AU$12))/14</f>
        <v>0.514285714285714</v>
      </c>
      <c r="O30" s="2" t="n">
        <f aca="false">1-SUMPRODUCT(ABS(Ongebruikt!$AH$30:$AU$30-Gebruikt!$AH$13:$AU$13))/14</f>
        <v>0.735714285714286</v>
      </c>
      <c r="P30" s="2" t="n">
        <f aca="false">1-SUMPRODUCT(ABS(Ongebruikt!$AH$30:$AU$30-Gebruikt!$AH$14:$AU$14))/14</f>
        <v>0.478571428571429</v>
      </c>
      <c r="Q30" s="2" t="n">
        <f aca="false">1-SUMPRODUCT(ABS(Ongebruikt!$AH$30:$AU$30-Gebruikt!$AH$15:$AU$15))/14</f>
        <v>0.55</v>
      </c>
      <c r="R30" s="2" t="n">
        <f aca="false">1-SUMPRODUCT(ABS(Ongebruikt!$AH$30:$AU$30-Gebruikt!$AH$16:$AU$16))/14</f>
        <v>0.55</v>
      </c>
      <c r="S30" s="2" t="n">
        <f aca="false">1-SUMPRODUCT(ABS(Ongebruikt!$AH$30:$AU$30-Gebruikt!$AH$17:$AU$17))/14</f>
        <v>0.757142857142857</v>
      </c>
      <c r="T30" s="2" t="n">
        <f aca="false">1-SUMPRODUCT(ABS(Ongebruikt!$AH$30:$AU$30-Gebruikt!$AH$18:$AU$18))/14</f>
        <v>0.707142857142857</v>
      </c>
      <c r="U30" s="2" t="n">
        <f aca="false">1-SUMPRODUCT(ABS(Ongebruikt!$AH$30:$AU$30-Gebruikt!$AH$19:$AU$19))/14</f>
        <v>0.65</v>
      </c>
      <c r="V30" s="2" t="n">
        <f aca="false">1-SUMPRODUCT(ABS(Ongebruikt!$AH$30:$AU$30-Gebruikt!$AH$20:$AU$20))/14</f>
        <v>0.407142857142857</v>
      </c>
      <c r="W30" s="2" t="n">
        <f aca="false">1-SUMPRODUCT(ABS(Ongebruikt!$AH$30:$AU$30-Gebruikt!$AH$21:$AU$21))/14</f>
        <v>0.578571428571429</v>
      </c>
      <c r="X30" s="2" t="n">
        <f aca="false">1-SUMPRODUCT(ABS(Ongebruikt!$AH$30:$AU$30-Gebruikt!$AH$22:$AU$22))/14</f>
        <v>0.771428571428571</v>
      </c>
      <c r="Y30" s="2" t="n">
        <f aca="false">1-SUMPRODUCT(ABS(Ongebruikt!$AH$30:$AU$30-Gebruikt!$AH$23:$AU$23))/14</f>
        <v>0.614285714285714</v>
      </c>
      <c r="Z30" s="2" t="n">
        <f aca="false">1-SUMPRODUCT(ABS(Ongebruikt!$AH$30:$AU$30-Gebruikt!$AH$24:$AU$24))/14</f>
        <v>0.614285714285714</v>
      </c>
      <c r="AA30" s="2" t="n">
        <f aca="false">1-SUMPRODUCT(ABS(Ongebruikt!$AH$30:$AU$30-Gebruikt!$AH$25:$AU$25))/14</f>
        <v>0.735714285714286</v>
      </c>
      <c r="AB30" s="2" t="n">
        <f aca="false">1-SUMPRODUCT(ABS(Ongebruikt!$AH$30:$AU$30-Gebruikt!$AH$26:$AU$26))/14</f>
        <v>0.735714285714286</v>
      </c>
      <c r="AC30" s="2" t="n">
        <f aca="false">1-SUMPRODUCT(ABS(Ongebruikt!$AH$30:$AU$30-Gebruikt!$AH$27:$AU$27))/14</f>
        <v>0.807142857142857</v>
      </c>
      <c r="AD30" s="2" t="n">
        <f aca="false">1-SUMPRODUCT(ABS(Ongebruikt!$AH$30:$AU$30-Gebruikt!$AH$28:$AU$28))/14</f>
        <v>0.735714285714286</v>
      </c>
      <c r="AE30" s="2" t="n">
        <f aca="false">1-SUMPRODUCT(ABS(Ongebruikt!$AH$30:$AU$30-Gebruikt!$AH$29:$AU$29))/14</f>
        <v>0.757142857142857</v>
      </c>
      <c r="AF30" s="2" t="n">
        <f aca="false">1-SUMPRODUCT(ABS(Ongebruikt!$AH$30:$AU$30-Gebruikt!$AH$30:$AU$30))/14</f>
        <v>0.814285714285714</v>
      </c>
      <c r="AG30" s="2" t="n">
        <f aca="false">1-SUMPRODUCT(ABS(Ongebruikt!$AH$30:$AU$30-Gebruikt!$AH$31:$AU$31))/14</f>
        <v>0.635714285714286</v>
      </c>
      <c r="AH30" s="2" t="n">
        <f aca="false">1-SUMPRODUCT(ABS(Ongebruikt!$AH$30:$AU$30-Gebruikt!$AH$32:$AU$32))/14</f>
        <v>0.707142857142857</v>
      </c>
      <c r="AI30" s="2" t="n">
        <f aca="false">1-SUMPRODUCT(ABS(Ongebruikt!$AH$30:$AU$30-Gebruikt!$AH$33:$AU$33))/14</f>
        <v>0.614285714285714</v>
      </c>
      <c r="AJ30" s="2" t="n">
        <f aca="false">1-SUMPRODUCT(ABS(Ongebruikt!$AH$30:$AU$30-Gebruikt!$AH$34:$AU$34))/14</f>
        <v>0.578571428571429</v>
      </c>
      <c r="AK30" s="2" t="n">
        <f aca="false">1-SUMPRODUCT(ABS(Ongebruikt!$AH$30:$AU$30-Gebruikt!$AH$35:$AU$35))/14</f>
        <v>0.614285714285714</v>
      </c>
      <c r="AL30" s="2" t="n">
        <f aca="false">1-SUMPRODUCT(ABS(Ongebruikt!$AH$30:$AU$30-Gebruikt!$AH$36:$AU$36))/14</f>
        <v>0.635714285714286</v>
      </c>
      <c r="AM30" s="2" t="n">
        <f aca="false">1-SUMPRODUCT(ABS(Ongebruikt!$AH$30:$AU$30-Gebruikt!$AH$37:$AU$37))/14</f>
        <v>0.635714285714286</v>
      </c>
      <c r="AN30" s="2" t="n">
        <f aca="false">1-SUMPRODUCT(ABS(Ongebruikt!$AH$30:$AU$30-Gebruikt!$AH$38:$AU$38))/14</f>
        <v>0.757142857142857</v>
      </c>
      <c r="AO30" s="2" t="n">
        <f aca="false">1-SUMPRODUCT(ABS(Ongebruikt!$AH$30:$AU$30-Gebruikt!$AH$39:$AU$39))/14</f>
        <v>0.65</v>
      </c>
      <c r="AP30" s="2" t="n">
        <f aca="false">1-SUMPRODUCT(ABS(Ongebruikt!$AH$30:$AU$30-Gebruikt!$AH$40:$AU$40))/14</f>
        <v>0.407142857142857</v>
      </c>
      <c r="AQ30" s="2" t="n">
        <f aca="false">1-SUMPRODUCT(ABS(Ongebruikt!$AH$30:$AU$30-Gebruikt!$AH$41:$AU$41))/14</f>
        <v>0.742857142857143</v>
      </c>
      <c r="AR30" s="2" t="n">
        <f aca="false">1-SUMPRODUCT(ABS(Ongebruikt!$AH$30:$AU$30-Gebruikt!$AH$42:$AU$42))/14</f>
        <v>0.407142857142857</v>
      </c>
      <c r="AS30" s="2" t="n">
        <f aca="false">1-SUMPRODUCT(ABS(Ongebruikt!$AH$30:$AU$30-Gebruikt!$AH$43:$AU$43))/14</f>
        <v>0.614285714285714</v>
      </c>
      <c r="AT30" s="2" t="n">
        <f aca="false">1-SUMPRODUCT(ABS(Ongebruikt!$AH$30:$AU$30-Gebruikt!$AH$44:$AU$44))/14</f>
        <v>0.614285714285714</v>
      </c>
      <c r="AU30" s="2" t="n">
        <f aca="false">1-SUMPRODUCT(ABS(Ongebruikt!$AH$30:$AU$30-Gebruikt!$AH$45:$AU$45))/14</f>
        <v>0.614285714285714</v>
      </c>
      <c r="AV30" s="2" t="n">
        <f aca="false">1-SUMPRODUCT(ABS(Ongebruikt!$AH$30:$AU$30-Gebruikt!$AH$46:$AU$46))/14</f>
        <v>0.771428571428571</v>
      </c>
      <c r="AW30" s="2" t="n">
        <f aca="false">1-SUMPRODUCT(ABS(Ongebruikt!$AH$30:$AU$30-Gebruikt!$AH$47:$AU$47))/14</f>
        <v>0.407142857142857</v>
      </c>
      <c r="AX30" s="2" t="n">
        <f aca="false">1-SUMPRODUCT(ABS(Ongebruikt!$AH$30:$AU$30-Gebruikt!$AH$48:$AU$48))/14</f>
        <v>0.757142857142857</v>
      </c>
    </row>
    <row r="31" customFormat="false" ht="15" hidden="false" customHeight="false" outlineLevel="0" collapsed="false">
      <c r="A31" s="8" t="str">
        <f aca="false">Ongebruikt!A31</f>
        <v>U28</v>
      </c>
      <c r="B31" s="8" t="str">
        <f aca="false">Ongebruikt!B31</f>
        <v>Measurement-based lookup cleanup</v>
      </c>
      <c r="C31" s="2" t="n">
        <f aca="false">1-D31</f>
        <v>0.0142857142857142</v>
      </c>
      <c r="D31" s="2" t="n">
        <f aca="false">MAX(F31:AX31)</f>
        <v>0.985714285714286</v>
      </c>
      <c r="E31" s="2" t="str">
        <f aca="false">INDEX(Gebruikt!$B$4:$B$48,MATCH(D31,F31:AX31,0))</f>
        <v>Classical offset point held in classical bit registers</v>
      </c>
      <c r="F31" s="2" t="n">
        <f aca="false">1-SUMPRODUCT(ABS(Ongebruikt!$AH$31:$AU$31-Gebruikt!$AH$4:$AU$4))/14</f>
        <v>0.535714285714286</v>
      </c>
      <c r="G31" s="2" t="n">
        <f aca="false">1-SUMPRODUCT(ABS(Ongebruikt!$AH$31:$AU$31-Gebruikt!$AH$5:$AU$5))/14</f>
        <v>0.692857142857143</v>
      </c>
      <c r="H31" s="2" t="n">
        <f aca="false">1-SUMPRODUCT(ABS(Ongebruikt!$AH$31:$AU$31-Gebruikt!$AH$6:$AU$6))/14</f>
        <v>0.692857142857143</v>
      </c>
      <c r="I31" s="2" t="n">
        <f aca="false">1-SUMPRODUCT(ABS(Ongebruikt!$AH$31:$AU$31-Gebruikt!$AH$7:$AU$7))/14</f>
        <v>0.692857142857143</v>
      </c>
      <c r="J31" s="2" t="n">
        <f aca="false">1-SUMPRODUCT(ABS(Ongebruikt!$AH$31:$AU$31-Gebruikt!$AH$8:$AU$8))/14</f>
        <v>0.657142857142857</v>
      </c>
      <c r="K31" s="2" t="n">
        <f aca="false">1-SUMPRODUCT(ABS(Ongebruikt!$AH$31:$AU$31-Gebruikt!$AH$9:$AU$9))/14</f>
        <v>0.578571428571429</v>
      </c>
      <c r="L31" s="2" t="n">
        <f aca="false">1-SUMPRODUCT(ABS(Ongebruikt!$AH$31:$AU$31-Gebruikt!$AH$10:$AU$10))/14</f>
        <v>0.578571428571429</v>
      </c>
      <c r="M31" s="2" t="n">
        <f aca="false">1-SUMPRODUCT(ABS(Ongebruikt!$AH$31:$AU$31-Gebruikt!$AH$11:$AU$11))/14</f>
        <v>0.578571428571429</v>
      </c>
      <c r="N31" s="2" t="n">
        <f aca="false">1-SUMPRODUCT(ABS(Ongebruikt!$AH$31:$AU$31-Gebruikt!$AH$12:$AU$12))/14</f>
        <v>0.685714285714286</v>
      </c>
      <c r="O31" s="2" t="n">
        <f aca="false">1-SUMPRODUCT(ABS(Ongebruikt!$AH$31:$AU$31-Gebruikt!$AH$13:$AU$13))/14</f>
        <v>0.564285714285714</v>
      </c>
      <c r="P31" s="2" t="n">
        <f aca="false">1-SUMPRODUCT(ABS(Ongebruikt!$AH$31:$AU$31-Gebruikt!$AH$14:$AU$14))/14</f>
        <v>0.65</v>
      </c>
      <c r="Q31" s="2" t="n">
        <f aca="false">1-SUMPRODUCT(ABS(Ongebruikt!$AH$31:$AU$31-Gebruikt!$AH$15:$AU$15))/14</f>
        <v>0.721428571428571</v>
      </c>
      <c r="R31" s="2" t="n">
        <f aca="false">1-SUMPRODUCT(ABS(Ongebruikt!$AH$31:$AU$31-Gebruikt!$AH$16:$AU$16))/14</f>
        <v>0.721428571428571</v>
      </c>
      <c r="S31" s="2" t="n">
        <f aca="false">1-SUMPRODUCT(ABS(Ongebruikt!$AH$31:$AU$31-Gebruikt!$AH$17:$AU$17))/14</f>
        <v>0.9</v>
      </c>
      <c r="T31" s="2" t="n">
        <f aca="false">1-SUMPRODUCT(ABS(Ongebruikt!$AH$31:$AU$31-Gebruikt!$AH$18:$AU$18))/14</f>
        <v>0.535714285714286</v>
      </c>
      <c r="U31" s="2" t="n">
        <f aca="false">1-SUMPRODUCT(ABS(Ongebruikt!$AH$31:$AU$31-Gebruikt!$AH$19:$AU$19))/14</f>
        <v>0.478571428571429</v>
      </c>
      <c r="V31" s="2" t="n">
        <f aca="false">1-SUMPRODUCT(ABS(Ongebruikt!$AH$31:$AU$31-Gebruikt!$AH$20:$AU$20))/14</f>
        <v>0.578571428571429</v>
      </c>
      <c r="W31" s="2" t="n">
        <f aca="false">1-SUMPRODUCT(ABS(Ongebruikt!$AH$31:$AU$31-Gebruikt!$AH$21:$AU$21))/14</f>
        <v>0.692857142857143</v>
      </c>
      <c r="X31" s="2" t="n">
        <f aca="false">1-SUMPRODUCT(ABS(Ongebruikt!$AH$31:$AU$31-Gebruikt!$AH$22:$AU$22))/14</f>
        <v>0.628571428571429</v>
      </c>
      <c r="Y31" s="2" t="n">
        <f aca="false">1-SUMPRODUCT(ABS(Ongebruikt!$AH$31:$AU$31-Gebruikt!$AH$23:$AU$23))/14</f>
        <v>0.657142857142857</v>
      </c>
      <c r="Z31" s="2" t="n">
        <f aca="false">1-SUMPRODUCT(ABS(Ongebruikt!$AH$31:$AU$31-Gebruikt!$AH$24:$AU$24))/14</f>
        <v>0.657142857142857</v>
      </c>
      <c r="AA31" s="2" t="n">
        <f aca="false">1-SUMPRODUCT(ABS(Ongebruikt!$AH$31:$AU$31-Gebruikt!$AH$25:$AU$25))/14</f>
        <v>0.564285714285714</v>
      </c>
      <c r="AB31" s="2" t="n">
        <f aca="false">1-SUMPRODUCT(ABS(Ongebruikt!$AH$31:$AU$31-Gebruikt!$AH$26:$AU$26))/14</f>
        <v>0.564285714285714</v>
      </c>
      <c r="AC31" s="2" t="n">
        <f aca="false">1-SUMPRODUCT(ABS(Ongebruikt!$AH$31:$AU$31-Gebruikt!$AH$27:$AU$27))/14</f>
        <v>0.635714285714286</v>
      </c>
      <c r="AD31" s="2" t="n">
        <f aca="false">1-SUMPRODUCT(ABS(Ongebruikt!$AH$31:$AU$31-Gebruikt!$AH$28:$AU$28))/14</f>
        <v>0.564285714285714</v>
      </c>
      <c r="AE31" s="2" t="n">
        <f aca="false">1-SUMPRODUCT(ABS(Ongebruikt!$AH$31:$AU$31-Gebruikt!$AH$29:$AU$29))/14</f>
        <v>0.871428571428571</v>
      </c>
      <c r="AF31" s="2" t="n">
        <f aca="false">1-SUMPRODUCT(ABS(Ongebruikt!$AH$31:$AU$31-Gebruikt!$AH$30:$AU$30))/14</f>
        <v>0.985714285714286</v>
      </c>
      <c r="AG31" s="2" t="n">
        <f aca="false">1-SUMPRODUCT(ABS(Ongebruikt!$AH$31:$AU$31-Gebruikt!$AH$31:$AU$31))/14</f>
        <v>0.464285714285714</v>
      </c>
      <c r="AH31" s="2" t="n">
        <f aca="false">1-SUMPRODUCT(ABS(Ongebruikt!$AH$31:$AU$31-Gebruikt!$AH$32:$AU$32))/14</f>
        <v>0.535714285714286</v>
      </c>
      <c r="AI31" s="2" t="n">
        <f aca="false">1-SUMPRODUCT(ABS(Ongebruikt!$AH$31:$AU$31-Gebruikt!$AH$33:$AU$33))/14</f>
        <v>0.728571428571429</v>
      </c>
      <c r="AJ31" s="2" t="n">
        <f aca="false">1-SUMPRODUCT(ABS(Ongebruikt!$AH$31:$AU$31-Gebruikt!$AH$34:$AU$34))/14</f>
        <v>0.692857142857143</v>
      </c>
      <c r="AK31" s="2" t="n">
        <f aca="false">1-SUMPRODUCT(ABS(Ongebruikt!$AH$31:$AU$31-Gebruikt!$AH$35:$AU$35))/14</f>
        <v>0.657142857142857</v>
      </c>
      <c r="AL31" s="2" t="n">
        <f aca="false">1-SUMPRODUCT(ABS(Ongebruikt!$AH$31:$AU$31-Gebruikt!$AH$36:$AU$36))/14</f>
        <v>0.464285714285714</v>
      </c>
      <c r="AM31" s="2" t="n">
        <f aca="false">1-SUMPRODUCT(ABS(Ongebruikt!$AH$31:$AU$31-Gebruikt!$AH$37:$AU$37))/14</f>
        <v>0.464285714285714</v>
      </c>
      <c r="AN31" s="2" t="n">
        <f aca="false">1-SUMPRODUCT(ABS(Ongebruikt!$AH$31:$AU$31-Gebruikt!$AH$38:$AU$38))/14</f>
        <v>0.871428571428571</v>
      </c>
      <c r="AO31" s="2" t="n">
        <f aca="false">1-SUMPRODUCT(ABS(Ongebruikt!$AH$31:$AU$31-Gebruikt!$AH$39:$AU$39))/14</f>
        <v>0.478571428571429</v>
      </c>
      <c r="AP31" s="2" t="n">
        <f aca="false">1-SUMPRODUCT(ABS(Ongebruikt!$AH$31:$AU$31-Gebruikt!$AH$40:$AU$40))/14</f>
        <v>0.578571428571429</v>
      </c>
      <c r="AQ31" s="2" t="n">
        <f aca="false">1-SUMPRODUCT(ABS(Ongebruikt!$AH$31:$AU$31-Gebruikt!$AH$41:$AU$41))/14</f>
        <v>0.914285714285714</v>
      </c>
      <c r="AR31" s="2" t="n">
        <f aca="false">1-SUMPRODUCT(ABS(Ongebruikt!$AH$31:$AU$31-Gebruikt!$AH$42:$AU$42))/14</f>
        <v>0.578571428571429</v>
      </c>
      <c r="AS31" s="2" t="n">
        <f aca="false">1-SUMPRODUCT(ABS(Ongebruikt!$AH$31:$AU$31-Gebruikt!$AH$43:$AU$43))/14</f>
        <v>0.757142857142857</v>
      </c>
      <c r="AT31" s="2" t="n">
        <f aca="false">1-SUMPRODUCT(ABS(Ongebruikt!$AH$31:$AU$31-Gebruikt!$AH$44:$AU$44))/14</f>
        <v>0.757142857142857</v>
      </c>
      <c r="AU31" s="2" t="n">
        <f aca="false">1-SUMPRODUCT(ABS(Ongebruikt!$AH$31:$AU$31-Gebruikt!$AH$45:$AU$45))/14</f>
        <v>0.757142857142857</v>
      </c>
      <c r="AV31" s="2" t="n">
        <f aca="false">1-SUMPRODUCT(ABS(Ongebruikt!$AH$31:$AU$31-Gebruikt!$AH$46:$AU$46))/14</f>
        <v>0.628571428571429</v>
      </c>
      <c r="AW31" s="2" t="n">
        <f aca="false">1-SUMPRODUCT(ABS(Ongebruikt!$AH$31:$AU$31-Gebruikt!$AH$47:$AU$47))/14</f>
        <v>0.578571428571429</v>
      </c>
      <c r="AX31" s="2" t="n">
        <f aca="false">1-SUMPRODUCT(ABS(Ongebruikt!$AH$31:$AU$31-Gebruikt!$AH$48:$AU$48))/14</f>
        <v>0.9</v>
      </c>
    </row>
    <row r="32" customFormat="false" ht="15" hidden="false" customHeight="false" outlineLevel="0" collapsed="false">
      <c r="A32" s="8" t="str">
        <f aca="false">Ongebruikt!A32</f>
        <v>U29</v>
      </c>
      <c r="B32" s="8" t="str">
        <f aca="false">Ongebruikt!B32</f>
        <v>Toom-Cook multiplication</v>
      </c>
      <c r="C32" s="2" t="n">
        <f aca="false">1-D32</f>
        <v>0.0428571428571428</v>
      </c>
      <c r="D32" s="2" t="n">
        <f aca="false">MAX(F32:AX32)</f>
        <v>0.957142857142857</v>
      </c>
      <c r="E32" s="2" t="str">
        <f aca="false">INDEX(Gebruikt!$B$4:$B$48,MATCH(D32,F32:AX32,0))</f>
        <v>Karatsuba squaring (recursive, in place)</v>
      </c>
      <c r="F32" s="2" t="n">
        <f aca="false">1-SUMPRODUCT(ABS(Ongebruikt!$AH$32:$AU$32-Gebruikt!$AH$4:$AU$4))/14</f>
        <v>0.842857142857143</v>
      </c>
      <c r="G32" s="2" t="n">
        <f aca="false">1-SUMPRODUCT(ABS(Ongebruikt!$AH$32:$AU$32-Gebruikt!$AH$5:$AU$5))/14</f>
        <v>0.757142857142857</v>
      </c>
      <c r="H32" s="2" t="n">
        <f aca="false">1-SUMPRODUCT(ABS(Ongebruikt!$AH$32:$AU$32-Gebruikt!$AH$6:$AU$6))/14</f>
        <v>0.757142857142857</v>
      </c>
      <c r="I32" s="2" t="n">
        <f aca="false">1-SUMPRODUCT(ABS(Ongebruikt!$AH$32:$AU$32-Gebruikt!$AH$7:$AU$7))/14</f>
        <v>0.685714285714286</v>
      </c>
      <c r="J32" s="2" t="n">
        <f aca="false">1-SUMPRODUCT(ABS(Ongebruikt!$AH$32:$AU$32-Gebruikt!$AH$8:$AU$8))/14</f>
        <v>0.792857142857143</v>
      </c>
      <c r="K32" s="2" t="n">
        <f aca="false">1-SUMPRODUCT(ABS(Ongebruikt!$AH$32:$AU$32-Gebruikt!$AH$9:$AU$9))/14</f>
        <v>0.585714285714286</v>
      </c>
      <c r="L32" s="2" t="n">
        <f aca="false">1-SUMPRODUCT(ABS(Ongebruikt!$AH$32:$AU$32-Gebruikt!$AH$10:$AU$10))/14</f>
        <v>0.585714285714286</v>
      </c>
      <c r="M32" s="2" t="n">
        <f aca="false">1-SUMPRODUCT(ABS(Ongebruikt!$AH$32:$AU$32-Gebruikt!$AH$11:$AU$11))/14</f>
        <v>0.585714285714286</v>
      </c>
      <c r="N32" s="2" t="n">
        <f aca="false">1-SUMPRODUCT(ABS(Ongebruikt!$AH$32:$AU$32-Gebruikt!$AH$12:$AU$12))/14</f>
        <v>0.55</v>
      </c>
      <c r="O32" s="2" t="n">
        <f aca="false">1-SUMPRODUCT(ABS(Ongebruikt!$AH$32:$AU$32-Gebruikt!$AH$13:$AU$13))/14</f>
        <v>0.814285714285714</v>
      </c>
      <c r="P32" s="2" t="n">
        <f aca="false">1-SUMPRODUCT(ABS(Ongebruikt!$AH$32:$AU$32-Gebruikt!$AH$14:$AU$14))/14</f>
        <v>0.657142857142857</v>
      </c>
      <c r="Q32" s="2" t="n">
        <f aca="false">1-SUMPRODUCT(ABS(Ongebruikt!$AH$32:$AU$32-Gebruikt!$AH$15:$AU$15))/14</f>
        <v>0.728571428571429</v>
      </c>
      <c r="R32" s="2" t="n">
        <f aca="false">1-SUMPRODUCT(ABS(Ongebruikt!$AH$32:$AU$32-Gebruikt!$AH$16:$AU$16))/14</f>
        <v>0.728571428571429</v>
      </c>
      <c r="S32" s="2" t="n">
        <f aca="false">1-SUMPRODUCT(ABS(Ongebruikt!$AH$32:$AU$32-Gebruikt!$AH$17:$AU$17))/14</f>
        <v>0.621428571428571</v>
      </c>
      <c r="T32" s="2" t="n">
        <f aca="false">1-SUMPRODUCT(ABS(Ongebruikt!$AH$32:$AU$32-Gebruikt!$AH$18:$AU$18))/14</f>
        <v>0.842857142857143</v>
      </c>
      <c r="U32" s="2" t="n">
        <f aca="false">1-SUMPRODUCT(ABS(Ongebruikt!$AH$32:$AU$32-Gebruikt!$AH$19:$AU$19))/14</f>
        <v>0.9</v>
      </c>
      <c r="V32" s="2" t="n">
        <f aca="false">1-SUMPRODUCT(ABS(Ongebruikt!$AH$32:$AU$32-Gebruikt!$AH$20:$AU$20))/14</f>
        <v>0.585714285714286</v>
      </c>
      <c r="W32" s="2" t="n">
        <f aca="false">1-SUMPRODUCT(ABS(Ongebruikt!$AH$32:$AU$32-Gebruikt!$AH$21:$AU$21))/14</f>
        <v>0.757142857142857</v>
      </c>
      <c r="X32" s="2" t="n">
        <f aca="false">1-SUMPRODUCT(ABS(Ongebruikt!$AH$32:$AU$32-Gebruikt!$AH$22:$AU$22))/14</f>
        <v>0.75</v>
      </c>
      <c r="Y32" s="2" t="n">
        <f aca="false">1-SUMPRODUCT(ABS(Ongebruikt!$AH$32:$AU$32-Gebruikt!$AH$23:$AU$23))/14</f>
        <v>0.792857142857143</v>
      </c>
      <c r="Z32" s="2" t="n">
        <f aca="false">1-SUMPRODUCT(ABS(Ongebruikt!$AH$32:$AU$32-Gebruikt!$AH$24:$AU$24))/14</f>
        <v>0.792857142857143</v>
      </c>
      <c r="AA32" s="2" t="n">
        <f aca="false">1-SUMPRODUCT(ABS(Ongebruikt!$AH$32:$AU$32-Gebruikt!$AH$25:$AU$25))/14</f>
        <v>0.957142857142857</v>
      </c>
      <c r="AB32" s="2" t="n">
        <f aca="false">1-SUMPRODUCT(ABS(Ongebruikt!$AH$32:$AU$32-Gebruikt!$AH$26:$AU$26))/14</f>
        <v>0.814285714285714</v>
      </c>
      <c r="AC32" s="2" t="n">
        <f aca="false">1-SUMPRODUCT(ABS(Ongebruikt!$AH$32:$AU$32-Gebruikt!$AH$27:$AU$27))/14</f>
        <v>0.885714285714286</v>
      </c>
      <c r="AD32" s="2" t="n">
        <f aca="false">1-SUMPRODUCT(ABS(Ongebruikt!$AH$32:$AU$32-Gebruikt!$AH$28:$AU$28))/14</f>
        <v>0.814285714285714</v>
      </c>
      <c r="AE32" s="2" t="n">
        <f aca="false">1-SUMPRODUCT(ABS(Ongebruikt!$AH$32:$AU$32-Gebruikt!$AH$29:$AU$29))/14</f>
        <v>0.65</v>
      </c>
      <c r="AF32" s="2" t="n">
        <f aca="false">1-SUMPRODUCT(ABS(Ongebruikt!$AH$32:$AU$32-Gebruikt!$AH$30:$AU$30))/14</f>
        <v>0.535714285714286</v>
      </c>
      <c r="AG32" s="2" t="n">
        <f aca="false">1-SUMPRODUCT(ABS(Ongebruikt!$AH$32:$AU$32-Gebruikt!$AH$31:$AU$31))/14</f>
        <v>0.914285714285714</v>
      </c>
      <c r="AH32" s="2" t="n">
        <f aca="false">1-SUMPRODUCT(ABS(Ongebruikt!$AH$32:$AU$32-Gebruikt!$AH$32:$AU$32))/14</f>
        <v>0.842857142857143</v>
      </c>
      <c r="AI32" s="2" t="n">
        <f aca="false">1-SUMPRODUCT(ABS(Ongebruikt!$AH$32:$AU$32-Gebruikt!$AH$33:$AU$33))/14</f>
        <v>0.65</v>
      </c>
      <c r="AJ32" s="2" t="n">
        <f aca="false">1-SUMPRODUCT(ABS(Ongebruikt!$AH$32:$AU$32-Gebruikt!$AH$34:$AU$34))/14</f>
        <v>0.757142857142857</v>
      </c>
      <c r="AK32" s="2" t="n">
        <f aca="false">1-SUMPRODUCT(ABS(Ongebruikt!$AH$32:$AU$32-Gebruikt!$AH$35:$AU$35))/14</f>
        <v>0.792857142857143</v>
      </c>
      <c r="AL32" s="2" t="n">
        <f aca="false">1-SUMPRODUCT(ABS(Ongebruikt!$AH$32:$AU$32-Gebruikt!$AH$36:$AU$36))/14</f>
        <v>0.914285714285714</v>
      </c>
      <c r="AM32" s="2" t="n">
        <f aca="false">1-SUMPRODUCT(ABS(Ongebruikt!$AH$32:$AU$32-Gebruikt!$AH$37:$AU$37))/14</f>
        <v>0.771428571428571</v>
      </c>
      <c r="AN32" s="2" t="n">
        <f aca="false">1-SUMPRODUCT(ABS(Ongebruikt!$AH$32:$AU$32-Gebruikt!$AH$38:$AU$38))/14</f>
        <v>0.65</v>
      </c>
      <c r="AO32" s="2" t="n">
        <f aca="false">1-SUMPRODUCT(ABS(Ongebruikt!$AH$32:$AU$32-Gebruikt!$AH$39:$AU$39))/14</f>
        <v>0.757142857142857</v>
      </c>
      <c r="AP32" s="2" t="n">
        <f aca="false">1-SUMPRODUCT(ABS(Ongebruikt!$AH$32:$AU$32-Gebruikt!$AH$40:$AU$40))/14</f>
        <v>0.585714285714286</v>
      </c>
      <c r="AQ32" s="2" t="n">
        <f aca="false">1-SUMPRODUCT(ABS(Ongebruikt!$AH$32:$AU$32-Gebruikt!$AH$41:$AU$41))/14</f>
        <v>0.607142857142857</v>
      </c>
      <c r="AR32" s="2" t="n">
        <f aca="false">1-SUMPRODUCT(ABS(Ongebruikt!$AH$32:$AU$32-Gebruikt!$AH$42:$AU$42))/14</f>
        <v>0.585714285714286</v>
      </c>
      <c r="AS32" s="2" t="n">
        <f aca="false">1-SUMPRODUCT(ABS(Ongebruikt!$AH$32:$AU$32-Gebruikt!$AH$43:$AU$43))/14</f>
        <v>0.621428571428571</v>
      </c>
      <c r="AT32" s="2" t="n">
        <f aca="false">1-SUMPRODUCT(ABS(Ongebruikt!$AH$32:$AU$32-Gebruikt!$AH$44:$AU$44))/14</f>
        <v>0.764285714285714</v>
      </c>
      <c r="AU32" s="2" t="n">
        <f aca="false">1-SUMPRODUCT(ABS(Ongebruikt!$AH$32:$AU$32-Gebruikt!$AH$45:$AU$45))/14</f>
        <v>0.621428571428571</v>
      </c>
      <c r="AV32" s="2" t="n">
        <f aca="false">1-SUMPRODUCT(ABS(Ongebruikt!$AH$32:$AU$32-Gebruikt!$AH$46:$AU$46))/14</f>
        <v>0.892857142857143</v>
      </c>
      <c r="AW32" s="2" t="n">
        <f aca="false">1-SUMPRODUCT(ABS(Ongebruikt!$AH$32:$AU$32-Gebruikt!$AH$47:$AU$47))/14</f>
        <v>0.585714285714286</v>
      </c>
      <c r="AX32" s="2" t="n">
        <f aca="false">1-SUMPRODUCT(ABS(Ongebruikt!$AH$32:$AU$32-Gebruikt!$AH$48:$AU$48))/14</f>
        <v>0.621428571428571</v>
      </c>
    </row>
    <row r="33" customFormat="false" ht="15" hidden="false" customHeight="false" outlineLevel="0" collapsed="false">
      <c r="A33" s="8" t="str">
        <f aca="false">Ongebruikt!A33</f>
        <v>U30</v>
      </c>
      <c r="B33" s="8" t="str">
        <f aca="false">Ongebruikt!B33</f>
        <v>Barrett reduction</v>
      </c>
      <c r="C33" s="2" t="n">
        <f aca="false">1-D33</f>
        <v>0.0285714285714286</v>
      </c>
      <c r="D33" s="2" t="n">
        <f aca="false">MAX(F33:AX33)</f>
        <v>0.971428571428571</v>
      </c>
      <c r="E33" s="2" t="str">
        <f aca="false">INDEX(Gebruikt!$B$4:$B$48,MATCH(D33,F33:AX33,0))</f>
        <v>Karatsuba squaring (recursive, in place)</v>
      </c>
      <c r="F33" s="2" t="n">
        <f aca="false">1-SUMPRODUCT(ABS(Ongebruikt!$AH$33:$AU$33-Gebruikt!$AH$4:$AU$4))/14</f>
        <v>0.8</v>
      </c>
      <c r="G33" s="2" t="n">
        <f aca="false">1-SUMPRODUCT(ABS(Ongebruikt!$AH$33:$AU$33-Gebruikt!$AH$5:$AU$5))/14</f>
        <v>0.742857142857143</v>
      </c>
      <c r="H33" s="2" t="n">
        <f aca="false">1-SUMPRODUCT(ABS(Ongebruikt!$AH$33:$AU$33-Gebruikt!$AH$6:$AU$6))/14</f>
        <v>0.742857142857143</v>
      </c>
      <c r="I33" s="2" t="n">
        <f aca="false">1-SUMPRODUCT(ABS(Ongebruikt!$AH$33:$AU$33-Gebruikt!$AH$7:$AU$7))/14</f>
        <v>0.671428571428572</v>
      </c>
      <c r="J33" s="2" t="n">
        <f aca="false">1-SUMPRODUCT(ABS(Ongebruikt!$AH$33:$AU$33-Gebruikt!$AH$8:$AU$8))/14</f>
        <v>0.778571428571429</v>
      </c>
      <c r="K33" s="2" t="n">
        <f aca="false">1-SUMPRODUCT(ABS(Ongebruikt!$AH$33:$AU$33-Gebruikt!$AH$9:$AU$9))/14</f>
        <v>0.6</v>
      </c>
      <c r="L33" s="2" t="n">
        <f aca="false">1-SUMPRODUCT(ABS(Ongebruikt!$AH$33:$AU$33-Gebruikt!$AH$10:$AU$10))/14</f>
        <v>0.6</v>
      </c>
      <c r="M33" s="2" t="n">
        <f aca="false">1-SUMPRODUCT(ABS(Ongebruikt!$AH$33:$AU$33-Gebruikt!$AH$11:$AU$11))/14</f>
        <v>0.6</v>
      </c>
      <c r="N33" s="2" t="n">
        <f aca="false">1-SUMPRODUCT(ABS(Ongebruikt!$AH$33:$AU$33-Gebruikt!$AH$12:$AU$12))/14</f>
        <v>0.564285714285714</v>
      </c>
      <c r="O33" s="2" t="n">
        <f aca="false">1-SUMPRODUCT(ABS(Ongebruikt!$AH$33:$AU$33-Gebruikt!$AH$13:$AU$13))/14</f>
        <v>0.828571428571429</v>
      </c>
      <c r="P33" s="2" t="n">
        <f aca="false">1-SUMPRODUCT(ABS(Ongebruikt!$AH$33:$AU$33-Gebruikt!$AH$14:$AU$14))/14</f>
        <v>0.671428571428572</v>
      </c>
      <c r="Q33" s="2" t="n">
        <f aca="false">1-SUMPRODUCT(ABS(Ongebruikt!$AH$33:$AU$33-Gebruikt!$AH$15:$AU$15))/14</f>
        <v>0.742857142857143</v>
      </c>
      <c r="R33" s="2" t="n">
        <f aca="false">1-SUMPRODUCT(ABS(Ongebruikt!$AH$33:$AU$33-Gebruikt!$AH$16:$AU$16))/14</f>
        <v>0.742857142857143</v>
      </c>
      <c r="S33" s="2" t="n">
        <f aca="false">1-SUMPRODUCT(ABS(Ongebruikt!$AH$33:$AU$33-Gebruikt!$AH$17:$AU$17))/14</f>
        <v>0.635714285714286</v>
      </c>
      <c r="T33" s="2" t="n">
        <f aca="false">1-SUMPRODUCT(ABS(Ongebruikt!$AH$33:$AU$33-Gebruikt!$AH$18:$AU$18))/14</f>
        <v>0.8</v>
      </c>
      <c r="U33" s="2" t="n">
        <f aca="false">1-SUMPRODUCT(ABS(Ongebruikt!$AH$33:$AU$33-Gebruikt!$AH$19:$AU$19))/14</f>
        <v>0.885714285714286</v>
      </c>
      <c r="V33" s="2" t="n">
        <f aca="false">1-SUMPRODUCT(ABS(Ongebruikt!$AH$33:$AU$33-Gebruikt!$AH$20:$AU$20))/14</f>
        <v>0.6</v>
      </c>
      <c r="W33" s="2" t="n">
        <f aca="false">1-SUMPRODUCT(ABS(Ongebruikt!$AH$33:$AU$33-Gebruikt!$AH$21:$AU$21))/14</f>
        <v>0.742857142857143</v>
      </c>
      <c r="X33" s="2" t="n">
        <f aca="false">1-SUMPRODUCT(ABS(Ongebruikt!$AH$33:$AU$33-Gebruikt!$AH$22:$AU$22))/14</f>
        <v>0.821428571428571</v>
      </c>
      <c r="Y33" s="2" t="n">
        <f aca="false">1-SUMPRODUCT(ABS(Ongebruikt!$AH$33:$AU$33-Gebruikt!$AH$23:$AU$23))/14</f>
        <v>0.778571428571429</v>
      </c>
      <c r="Z33" s="2" t="n">
        <f aca="false">1-SUMPRODUCT(ABS(Ongebruikt!$AH$33:$AU$33-Gebruikt!$AH$24:$AU$24))/14</f>
        <v>0.778571428571429</v>
      </c>
      <c r="AA33" s="2" t="n">
        <f aca="false">1-SUMPRODUCT(ABS(Ongebruikt!$AH$33:$AU$33-Gebruikt!$AH$25:$AU$25))/14</f>
        <v>0.971428571428571</v>
      </c>
      <c r="AB33" s="2" t="n">
        <f aca="false">1-SUMPRODUCT(ABS(Ongebruikt!$AH$33:$AU$33-Gebruikt!$AH$26:$AU$26))/14</f>
        <v>0.828571428571429</v>
      </c>
      <c r="AC33" s="2" t="n">
        <f aca="false">1-SUMPRODUCT(ABS(Ongebruikt!$AH$33:$AU$33-Gebruikt!$AH$27:$AU$27))/14</f>
        <v>0.9</v>
      </c>
      <c r="AD33" s="2" t="n">
        <f aca="false">1-SUMPRODUCT(ABS(Ongebruikt!$AH$33:$AU$33-Gebruikt!$AH$28:$AU$28))/14</f>
        <v>0.828571428571429</v>
      </c>
      <c r="AE33" s="2" t="n">
        <f aca="false">1-SUMPRODUCT(ABS(Ongebruikt!$AH$33:$AU$33-Gebruikt!$AH$29:$AU$29))/14</f>
        <v>0.635714285714286</v>
      </c>
      <c r="AF33" s="2" t="n">
        <f aca="false">1-SUMPRODUCT(ABS(Ongebruikt!$AH$33:$AU$33-Gebruikt!$AH$30:$AU$30))/14</f>
        <v>0.578571428571429</v>
      </c>
      <c r="AG33" s="2" t="n">
        <f aca="false">1-SUMPRODUCT(ABS(Ongebruikt!$AH$33:$AU$33-Gebruikt!$AH$31:$AU$31))/14</f>
        <v>0.871428571428571</v>
      </c>
      <c r="AH33" s="2" t="n">
        <f aca="false">1-SUMPRODUCT(ABS(Ongebruikt!$AH$33:$AU$33-Gebruikt!$AH$32:$AU$32))/14</f>
        <v>0.8</v>
      </c>
      <c r="AI33" s="2" t="n">
        <f aca="false">1-SUMPRODUCT(ABS(Ongebruikt!$AH$33:$AU$33-Gebruikt!$AH$33:$AU$33))/14</f>
        <v>0.635714285714286</v>
      </c>
      <c r="AJ33" s="2" t="n">
        <f aca="false">1-SUMPRODUCT(ABS(Ongebruikt!$AH$33:$AU$33-Gebruikt!$AH$34:$AU$34))/14</f>
        <v>0.742857142857143</v>
      </c>
      <c r="AK33" s="2" t="n">
        <f aca="false">1-SUMPRODUCT(ABS(Ongebruikt!$AH$33:$AU$33-Gebruikt!$AH$35:$AU$35))/14</f>
        <v>0.778571428571429</v>
      </c>
      <c r="AL33" s="2" t="n">
        <f aca="false">1-SUMPRODUCT(ABS(Ongebruikt!$AH$33:$AU$33-Gebruikt!$AH$36:$AU$36))/14</f>
        <v>0.871428571428571</v>
      </c>
      <c r="AM33" s="2" t="n">
        <f aca="false">1-SUMPRODUCT(ABS(Ongebruikt!$AH$33:$AU$33-Gebruikt!$AH$37:$AU$37))/14</f>
        <v>0.728571428571429</v>
      </c>
      <c r="AN33" s="2" t="n">
        <f aca="false">1-SUMPRODUCT(ABS(Ongebruikt!$AH$33:$AU$33-Gebruikt!$AH$38:$AU$38))/14</f>
        <v>0.635714285714286</v>
      </c>
      <c r="AO33" s="2" t="n">
        <f aca="false">1-SUMPRODUCT(ABS(Ongebruikt!$AH$33:$AU$33-Gebruikt!$AH$39:$AU$39))/14</f>
        <v>0.742857142857143</v>
      </c>
      <c r="AP33" s="2" t="n">
        <f aca="false">1-SUMPRODUCT(ABS(Ongebruikt!$AH$33:$AU$33-Gebruikt!$AH$40:$AU$40))/14</f>
        <v>0.6</v>
      </c>
      <c r="AQ33" s="2" t="n">
        <f aca="false">1-SUMPRODUCT(ABS(Ongebruikt!$AH$33:$AU$33-Gebruikt!$AH$41:$AU$41))/14</f>
        <v>0.65</v>
      </c>
      <c r="AR33" s="2" t="n">
        <f aca="false">1-SUMPRODUCT(ABS(Ongebruikt!$AH$33:$AU$33-Gebruikt!$AH$42:$AU$42))/14</f>
        <v>0.6</v>
      </c>
      <c r="AS33" s="2" t="n">
        <f aca="false">1-SUMPRODUCT(ABS(Ongebruikt!$AH$33:$AU$33-Gebruikt!$AH$43:$AU$43))/14</f>
        <v>0.635714285714286</v>
      </c>
      <c r="AT33" s="2" t="n">
        <f aca="false">1-SUMPRODUCT(ABS(Ongebruikt!$AH$33:$AU$33-Gebruikt!$AH$44:$AU$44))/14</f>
        <v>0.778571428571429</v>
      </c>
      <c r="AU33" s="2" t="n">
        <f aca="false">1-SUMPRODUCT(ABS(Ongebruikt!$AH$33:$AU$33-Gebruikt!$AH$45:$AU$45))/14</f>
        <v>0.635714285714286</v>
      </c>
      <c r="AV33" s="2" t="n">
        <f aca="false">1-SUMPRODUCT(ABS(Ongebruikt!$AH$33:$AU$33-Gebruikt!$AH$46:$AU$46))/14</f>
        <v>0.964285714285714</v>
      </c>
      <c r="AW33" s="2" t="n">
        <f aca="false">1-SUMPRODUCT(ABS(Ongebruikt!$AH$33:$AU$33-Gebruikt!$AH$47:$AU$47))/14</f>
        <v>0.6</v>
      </c>
      <c r="AX33" s="2" t="n">
        <f aca="false">1-SUMPRODUCT(ABS(Ongebruikt!$AH$33:$AU$33-Gebruikt!$AH$48:$AU$48))/14</f>
        <v>0.635714285714286</v>
      </c>
    </row>
    <row r="34" customFormat="false" ht="15" hidden="false" customHeight="false" outlineLevel="0" collapsed="false">
      <c r="A34" s="8" t="str">
        <f aca="false">Ongebruikt!A34</f>
        <v>U31</v>
      </c>
      <c r="B34" s="8" t="str">
        <f aca="false">Ongebruikt!B34</f>
        <v>Integer cofactor tracking (growing cofactors, register sharing)</v>
      </c>
      <c r="C34" s="2" t="n">
        <f aca="false">1-D34</f>
        <v>0.0142857142857142</v>
      </c>
      <c r="D34" s="2" t="n">
        <f aca="false">MAX(F34:AX34)</f>
        <v>0.985714285714286</v>
      </c>
      <c r="E34" s="2" t="str">
        <f aca="false">INDEX(Gebruikt!$B$4:$B$48,MATCH(D34,F34:AX34,0))</f>
        <v>Multi-bit shift per GCD step (jump-GCD K=2 to 8-way barrel e&lt;=7)</v>
      </c>
      <c r="F34" s="2" t="n">
        <f aca="false">1-SUMPRODUCT(ABS(Ongebruikt!$AH$34:$AU$34-Gebruikt!$AH$4:$AU$4))/14</f>
        <v>0.914285714285714</v>
      </c>
      <c r="G34" s="2" t="n">
        <f aca="false">1-SUMPRODUCT(ABS(Ongebruikt!$AH$34:$AU$34-Gebruikt!$AH$5:$AU$5))/14</f>
        <v>0.685714285714286</v>
      </c>
      <c r="H34" s="2" t="n">
        <f aca="false">1-SUMPRODUCT(ABS(Ongebruikt!$AH$34:$AU$34-Gebruikt!$AH$6:$AU$6))/14</f>
        <v>0.685714285714286</v>
      </c>
      <c r="I34" s="2" t="n">
        <f aca="false">1-SUMPRODUCT(ABS(Ongebruikt!$AH$34:$AU$34-Gebruikt!$AH$7:$AU$7))/14</f>
        <v>0.614285714285714</v>
      </c>
      <c r="J34" s="2" t="n">
        <f aca="false">1-SUMPRODUCT(ABS(Ongebruikt!$AH$34:$AU$34-Gebruikt!$AH$8:$AU$8))/14</f>
        <v>0.721428571428571</v>
      </c>
      <c r="K34" s="2" t="n">
        <f aca="false">1-SUMPRODUCT(ABS(Ongebruikt!$AH$34:$AU$34-Gebruikt!$AH$9:$AU$9))/14</f>
        <v>0.657142857142857</v>
      </c>
      <c r="L34" s="2" t="n">
        <f aca="false">1-SUMPRODUCT(ABS(Ongebruikt!$AH$34:$AU$34-Gebruikt!$AH$10:$AU$10))/14</f>
        <v>0.657142857142857</v>
      </c>
      <c r="M34" s="2" t="n">
        <f aca="false">1-SUMPRODUCT(ABS(Ongebruikt!$AH$34:$AU$34-Gebruikt!$AH$11:$AU$11))/14</f>
        <v>0.657142857142857</v>
      </c>
      <c r="N34" s="2" t="n">
        <f aca="false">1-SUMPRODUCT(ABS(Ongebruikt!$AH$34:$AU$34-Gebruikt!$AH$12:$AU$12))/14</f>
        <v>0.621428571428571</v>
      </c>
      <c r="O34" s="2" t="n">
        <f aca="false">1-SUMPRODUCT(ABS(Ongebruikt!$AH$34:$AU$34-Gebruikt!$AH$13:$AU$13))/14</f>
        <v>0.742857142857143</v>
      </c>
      <c r="P34" s="2" t="n">
        <f aca="false">1-SUMPRODUCT(ABS(Ongebruikt!$AH$34:$AU$34-Gebruikt!$AH$14:$AU$14))/14</f>
        <v>0.585714285714286</v>
      </c>
      <c r="Q34" s="2" t="n">
        <f aca="false">1-SUMPRODUCT(ABS(Ongebruikt!$AH$34:$AU$34-Gebruikt!$AH$15:$AU$15))/14</f>
        <v>0.657142857142857</v>
      </c>
      <c r="R34" s="2" t="n">
        <f aca="false">1-SUMPRODUCT(ABS(Ongebruikt!$AH$34:$AU$34-Gebruikt!$AH$16:$AU$16))/14</f>
        <v>0.657142857142857</v>
      </c>
      <c r="S34" s="2" t="n">
        <f aca="false">1-SUMPRODUCT(ABS(Ongebruikt!$AH$34:$AU$34-Gebruikt!$AH$17:$AU$17))/14</f>
        <v>0.55</v>
      </c>
      <c r="T34" s="2" t="n">
        <f aca="false">1-SUMPRODUCT(ABS(Ongebruikt!$AH$34:$AU$34-Gebruikt!$AH$18:$AU$18))/14</f>
        <v>0.914285714285714</v>
      </c>
      <c r="U34" s="2" t="n">
        <f aca="false">1-SUMPRODUCT(ABS(Ongebruikt!$AH$34:$AU$34-Gebruikt!$AH$19:$AU$19))/14</f>
        <v>0.971428571428571</v>
      </c>
      <c r="V34" s="2" t="n">
        <f aca="false">1-SUMPRODUCT(ABS(Ongebruikt!$AH$34:$AU$34-Gebruikt!$AH$20:$AU$20))/14</f>
        <v>0.657142857142857</v>
      </c>
      <c r="W34" s="2" t="n">
        <f aca="false">1-SUMPRODUCT(ABS(Ongebruikt!$AH$34:$AU$34-Gebruikt!$AH$21:$AU$21))/14</f>
        <v>0.685714285714286</v>
      </c>
      <c r="X34" s="2" t="n">
        <f aca="false">1-SUMPRODUCT(ABS(Ongebruikt!$AH$34:$AU$34-Gebruikt!$AH$22:$AU$22))/14</f>
        <v>0.678571428571429</v>
      </c>
      <c r="Y34" s="2" t="n">
        <f aca="false">1-SUMPRODUCT(ABS(Ongebruikt!$AH$34:$AU$34-Gebruikt!$AH$23:$AU$23))/14</f>
        <v>0.721428571428571</v>
      </c>
      <c r="Z34" s="2" t="n">
        <f aca="false">1-SUMPRODUCT(ABS(Ongebruikt!$AH$34:$AU$34-Gebruikt!$AH$24:$AU$24))/14</f>
        <v>0.721428571428571</v>
      </c>
      <c r="AA34" s="2" t="n">
        <f aca="false">1-SUMPRODUCT(ABS(Ongebruikt!$AH$34:$AU$34-Gebruikt!$AH$25:$AU$25))/14</f>
        <v>0.885714285714286</v>
      </c>
      <c r="AB34" s="2" t="n">
        <f aca="false">1-SUMPRODUCT(ABS(Ongebruikt!$AH$34:$AU$34-Gebruikt!$AH$26:$AU$26))/14</f>
        <v>0.742857142857143</v>
      </c>
      <c r="AC34" s="2" t="n">
        <f aca="false">1-SUMPRODUCT(ABS(Ongebruikt!$AH$34:$AU$34-Gebruikt!$AH$27:$AU$27))/14</f>
        <v>0.814285714285714</v>
      </c>
      <c r="AD34" s="2" t="n">
        <f aca="false">1-SUMPRODUCT(ABS(Ongebruikt!$AH$34:$AU$34-Gebruikt!$AH$28:$AU$28))/14</f>
        <v>0.742857142857143</v>
      </c>
      <c r="AE34" s="2" t="n">
        <f aca="false">1-SUMPRODUCT(ABS(Ongebruikt!$AH$34:$AU$34-Gebruikt!$AH$29:$AU$29))/14</f>
        <v>0.578571428571429</v>
      </c>
      <c r="AF34" s="2" t="n">
        <f aca="false">1-SUMPRODUCT(ABS(Ongebruikt!$AH$34:$AU$34-Gebruikt!$AH$30:$AU$30))/14</f>
        <v>0.464285714285714</v>
      </c>
      <c r="AG34" s="2" t="n">
        <f aca="false">1-SUMPRODUCT(ABS(Ongebruikt!$AH$34:$AU$34-Gebruikt!$AH$31:$AU$31))/14</f>
        <v>0.985714285714286</v>
      </c>
      <c r="AH34" s="2" t="n">
        <f aca="false">1-SUMPRODUCT(ABS(Ongebruikt!$AH$34:$AU$34-Gebruikt!$AH$32:$AU$32))/14</f>
        <v>0.914285714285714</v>
      </c>
      <c r="AI34" s="2" t="n">
        <f aca="false">1-SUMPRODUCT(ABS(Ongebruikt!$AH$34:$AU$34-Gebruikt!$AH$33:$AU$33))/14</f>
        <v>0.578571428571429</v>
      </c>
      <c r="AJ34" s="2" t="n">
        <f aca="false">1-SUMPRODUCT(ABS(Ongebruikt!$AH$34:$AU$34-Gebruikt!$AH$34:$AU$34))/14</f>
        <v>0.685714285714286</v>
      </c>
      <c r="AK34" s="2" t="n">
        <f aca="false">1-SUMPRODUCT(ABS(Ongebruikt!$AH$34:$AU$34-Gebruikt!$AH$35:$AU$35))/14</f>
        <v>0.721428571428571</v>
      </c>
      <c r="AL34" s="2" t="n">
        <f aca="false">1-SUMPRODUCT(ABS(Ongebruikt!$AH$34:$AU$34-Gebruikt!$AH$36:$AU$36))/14</f>
        <v>0.985714285714286</v>
      </c>
      <c r="AM34" s="2" t="n">
        <f aca="false">1-SUMPRODUCT(ABS(Ongebruikt!$AH$34:$AU$34-Gebruikt!$AH$37:$AU$37))/14</f>
        <v>0.842857142857143</v>
      </c>
      <c r="AN34" s="2" t="n">
        <f aca="false">1-SUMPRODUCT(ABS(Ongebruikt!$AH$34:$AU$34-Gebruikt!$AH$38:$AU$38))/14</f>
        <v>0.578571428571429</v>
      </c>
      <c r="AO34" s="2" t="n">
        <f aca="false">1-SUMPRODUCT(ABS(Ongebruikt!$AH$34:$AU$34-Gebruikt!$AH$39:$AU$39))/14</f>
        <v>0.828571428571429</v>
      </c>
      <c r="AP34" s="2" t="n">
        <f aca="false">1-SUMPRODUCT(ABS(Ongebruikt!$AH$34:$AU$34-Gebruikt!$AH$40:$AU$40))/14</f>
        <v>0.657142857142857</v>
      </c>
      <c r="AQ34" s="2" t="n">
        <f aca="false">1-SUMPRODUCT(ABS(Ongebruikt!$AH$34:$AU$34-Gebruikt!$AH$41:$AU$41))/14</f>
        <v>0.535714285714286</v>
      </c>
      <c r="AR34" s="2" t="n">
        <f aca="false">1-SUMPRODUCT(ABS(Ongebruikt!$AH$34:$AU$34-Gebruikt!$AH$42:$AU$42))/14</f>
        <v>0.657142857142857</v>
      </c>
      <c r="AS34" s="2" t="n">
        <f aca="false">1-SUMPRODUCT(ABS(Ongebruikt!$AH$34:$AU$34-Gebruikt!$AH$43:$AU$43))/14</f>
        <v>0.55</v>
      </c>
      <c r="AT34" s="2" t="n">
        <f aca="false">1-SUMPRODUCT(ABS(Ongebruikt!$AH$34:$AU$34-Gebruikt!$AH$44:$AU$44))/14</f>
        <v>0.692857142857143</v>
      </c>
      <c r="AU34" s="2" t="n">
        <f aca="false">1-SUMPRODUCT(ABS(Ongebruikt!$AH$34:$AU$34-Gebruikt!$AH$45:$AU$45))/14</f>
        <v>0.55</v>
      </c>
      <c r="AV34" s="2" t="n">
        <f aca="false">1-SUMPRODUCT(ABS(Ongebruikt!$AH$34:$AU$34-Gebruikt!$AH$46:$AU$46))/14</f>
        <v>0.821428571428571</v>
      </c>
      <c r="AW34" s="2" t="n">
        <f aca="false">1-SUMPRODUCT(ABS(Ongebruikt!$AH$34:$AU$34-Gebruikt!$AH$47:$AU$47))/14</f>
        <v>0.657142857142857</v>
      </c>
      <c r="AX34" s="2" t="n">
        <f aca="false">1-SUMPRODUCT(ABS(Ongebruikt!$AH$34:$AU$34-Gebruikt!$AH$48:$AU$48))/14</f>
        <v>0.55</v>
      </c>
    </row>
    <row r="35" customFormat="false" ht="15" hidden="false" customHeight="false" outlineLevel="0" collapsed="false">
      <c r="A35" s="8" t="str">
        <f aca="false">Ongebruikt!A35</f>
        <v>U32</v>
      </c>
      <c r="B35" s="8" t="str">
        <f aca="false">Ongebruikt!B35</f>
        <v>Base-k transcript packing (Jump-2 base-5)</v>
      </c>
      <c r="C35" s="2" t="n">
        <f aca="false">1-D35</f>
        <v>0</v>
      </c>
      <c r="D35" s="2" t="n">
        <f aca="false">MAX(F35:AX35)</f>
        <v>1</v>
      </c>
      <c r="E35" s="2" t="str">
        <f aca="false">INDEX(Gebruikt!$B$4:$B$48,MATCH(D35,F35:AX35,0))</f>
        <v>Transcript compression codecs</v>
      </c>
      <c r="F35" s="2" t="n">
        <f aca="false">1-SUMPRODUCT(ABS(Ongebruikt!$AH$35:$AU$35-Gebruikt!$AH$4:$AU$4))/14</f>
        <v>0.885714285714286</v>
      </c>
      <c r="G35" s="2" t="n">
        <f aca="false">1-SUMPRODUCT(ABS(Ongebruikt!$AH$35:$AU$35-Gebruikt!$AH$5:$AU$5))/14</f>
        <v>0.714285714285714</v>
      </c>
      <c r="H35" s="2" t="n">
        <f aca="false">1-SUMPRODUCT(ABS(Ongebruikt!$AH$35:$AU$35-Gebruikt!$AH$6:$AU$6))/14</f>
        <v>0.714285714285714</v>
      </c>
      <c r="I35" s="2" t="n">
        <f aca="false">1-SUMPRODUCT(ABS(Ongebruikt!$AH$35:$AU$35-Gebruikt!$AH$7:$AU$7))/14</f>
        <v>0.642857142857143</v>
      </c>
      <c r="J35" s="2" t="n">
        <f aca="false">1-SUMPRODUCT(ABS(Ongebruikt!$AH$35:$AU$35-Gebruikt!$AH$8:$AU$8))/14</f>
        <v>0.75</v>
      </c>
      <c r="K35" s="2" t="n">
        <f aca="false">1-SUMPRODUCT(ABS(Ongebruikt!$AH$35:$AU$35-Gebruikt!$AH$9:$AU$9))/14</f>
        <v>0.685714285714286</v>
      </c>
      <c r="L35" s="2" t="n">
        <f aca="false">1-SUMPRODUCT(ABS(Ongebruikt!$AH$35:$AU$35-Gebruikt!$AH$10:$AU$10))/14</f>
        <v>0.685714285714286</v>
      </c>
      <c r="M35" s="2" t="n">
        <f aca="false">1-SUMPRODUCT(ABS(Ongebruikt!$AH$35:$AU$35-Gebruikt!$AH$11:$AU$11))/14</f>
        <v>0.685714285714286</v>
      </c>
      <c r="N35" s="2" t="n">
        <f aca="false">1-SUMPRODUCT(ABS(Ongebruikt!$AH$35:$AU$35-Gebruikt!$AH$12:$AU$12))/14</f>
        <v>0.65</v>
      </c>
      <c r="O35" s="2" t="n">
        <f aca="false">1-SUMPRODUCT(ABS(Ongebruikt!$AH$35:$AU$35-Gebruikt!$AH$13:$AU$13))/14</f>
        <v>0.771428571428571</v>
      </c>
      <c r="P35" s="2" t="n">
        <f aca="false">1-SUMPRODUCT(ABS(Ongebruikt!$AH$35:$AU$35-Gebruikt!$AH$14:$AU$14))/14</f>
        <v>0.614285714285714</v>
      </c>
      <c r="Q35" s="2" t="n">
        <f aca="false">1-SUMPRODUCT(ABS(Ongebruikt!$AH$35:$AU$35-Gebruikt!$AH$15:$AU$15))/14</f>
        <v>0.685714285714286</v>
      </c>
      <c r="R35" s="2" t="n">
        <f aca="false">1-SUMPRODUCT(ABS(Ongebruikt!$AH$35:$AU$35-Gebruikt!$AH$16:$AU$16))/14</f>
        <v>0.685714285714286</v>
      </c>
      <c r="S35" s="2" t="n">
        <f aca="false">1-SUMPRODUCT(ABS(Ongebruikt!$AH$35:$AU$35-Gebruikt!$AH$17:$AU$17))/14</f>
        <v>0.578571428571429</v>
      </c>
      <c r="T35" s="2" t="n">
        <f aca="false">1-SUMPRODUCT(ABS(Ongebruikt!$AH$35:$AU$35-Gebruikt!$AH$18:$AU$18))/14</f>
        <v>0.885714285714286</v>
      </c>
      <c r="U35" s="2" t="n">
        <f aca="false">1-SUMPRODUCT(ABS(Ongebruikt!$AH$35:$AU$35-Gebruikt!$AH$19:$AU$19))/14</f>
        <v>1</v>
      </c>
      <c r="V35" s="2" t="n">
        <f aca="false">1-SUMPRODUCT(ABS(Ongebruikt!$AH$35:$AU$35-Gebruikt!$AH$20:$AU$20))/14</f>
        <v>0.685714285714286</v>
      </c>
      <c r="W35" s="2" t="n">
        <f aca="false">1-SUMPRODUCT(ABS(Ongebruikt!$AH$35:$AU$35-Gebruikt!$AH$21:$AU$21))/14</f>
        <v>0.714285714285714</v>
      </c>
      <c r="X35" s="2" t="n">
        <f aca="false">1-SUMPRODUCT(ABS(Ongebruikt!$AH$35:$AU$35-Gebruikt!$AH$22:$AU$22))/14</f>
        <v>0.707142857142857</v>
      </c>
      <c r="Y35" s="2" t="n">
        <f aca="false">1-SUMPRODUCT(ABS(Ongebruikt!$AH$35:$AU$35-Gebruikt!$AH$23:$AU$23))/14</f>
        <v>0.75</v>
      </c>
      <c r="Z35" s="2" t="n">
        <f aca="false">1-SUMPRODUCT(ABS(Ongebruikt!$AH$35:$AU$35-Gebruikt!$AH$24:$AU$24))/14</f>
        <v>0.75</v>
      </c>
      <c r="AA35" s="2" t="n">
        <f aca="false">1-SUMPRODUCT(ABS(Ongebruikt!$AH$35:$AU$35-Gebruikt!$AH$25:$AU$25))/14</f>
        <v>0.885714285714286</v>
      </c>
      <c r="AB35" s="2" t="n">
        <f aca="false">1-SUMPRODUCT(ABS(Ongebruikt!$AH$35:$AU$35-Gebruikt!$AH$26:$AU$26))/14</f>
        <v>0.742857142857143</v>
      </c>
      <c r="AC35" s="2" t="n">
        <f aca="false">1-SUMPRODUCT(ABS(Ongebruikt!$AH$35:$AU$35-Gebruikt!$AH$27:$AU$27))/14</f>
        <v>0.842857142857143</v>
      </c>
      <c r="AD35" s="2" t="n">
        <f aca="false">1-SUMPRODUCT(ABS(Ongebruikt!$AH$35:$AU$35-Gebruikt!$AH$28:$AU$28))/14</f>
        <v>0.771428571428571</v>
      </c>
      <c r="AE35" s="2" t="n">
        <f aca="false">1-SUMPRODUCT(ABS(Ongebruikt!$AH$35:$AU$35-Gebruikt!$AH$29:$AU$29))/14</f>
        <v>0.607142857142857</v>
      </c>
      <c r="AF35" s="2" t="n">
        <f aca="false">1-SUMPRODUCT(ABS(Ongebruikt!$AH$35:$AU$35-Gebruikt!$AH$30:$AU$30))/14</f>
        <v>0.492857142857143</v>
      </c>
      <c r="AG35" s="2" t="n">
        <f aca="false">1-SUMPRODUCT(ABS(Ongebruikt!$AH$35:$AU$35-Gebruikt!$AH$31:$AU$31))/14</f>
        <v>0.957142857142857</v>
      </c>
      <c r="AH35" s="2" t="n">
        <f aca="false">1-SUMPRODUCT(ABS(Ongebruikt!$AH$35:$AU$35-Gebruikt!$AH$32:$AU$32))/14</f>
        <v>0.885714285714286</v>
      </c>
      <c r="AI35" s="2" t="n">
        <f aca="false">1-SUMPRODUCT(ABS(Ongebruikt!$AH$35:$AU$35-Gebruikt!$AH$33:$AU$33))/14</f>
        <v>0.607142857142857</v>
      </c>
      <c r="AJ35" s="2" t="n">
        <f aca="false">1-SUMPRODUCT(ABS(Ongebruikt!$AH$35:$AU$35-Gebruikt!$AH$34:$AU$34))/14</f>
        <v>0.714285714285714</v>
      </c>
      <c r="AK35" s="2" t="n">
        <f aca="false">1-SUMPRODUCT(ABS(Ongebruikt!$AH$35:$AU$35-Gebruikt!$AH$35:$AU$35))/14</f>
        <v>0.75</v>
      </c>
      <c r="AL35" s="2" t="n">
        <f aca="false">1-SUMPRODUCT(ABS(Ongebruikt!$AH$35:$AU$35-Gebruikt!$AH$36:$AU$36))/14</f>
        <v>0.957142857142857</v>
      </c>
      <c r="AM35" s="2" t="n">
        <f aca="false">1-SUMPRODUCT(ABS(Ongebruikt!$AH$35:$AU$35-Gebruikt!$AH$37:$AU$37))/14</f>
        <v>0.814285714285714</v>
      </c>
      <c r="AN35" s="2" t="n">
        <f aca="false">1-SUMPRODUCT(ABS(Ongebruikt!$AH$35:$AU$35-Gebruikt!$AH$38:$AU$38))/14</f>
        <v>0.607142857142857</v>
      </c>
      <c r="AO35" s="2" t="n">
        <f aca="false">1-SUMPRODUCT(ABS(Ongebruikt!$AH$35:$AU$35-Gebruikt!$AH$39:$AU$39))/14</f>
        <v>0.857142857142857</v>
      </c>
      <c r="AP35" s="2" t="n">
        <f aca="false">1-SUMPRODUCT(ABS(Ongebruikt!$AH$35:$AU$35-Gebruikt!$AH$40:$AU$40))/14</f>
        <v>0.685714285714286</v>
      </c>
      <c r="AQ35" s="2" t="n">
        <f aca="false">1-SUMPRODUCT(ABS(Ongebruikt!$AH$35:$AU$35-Gebruikt!$AH$41:$AU$41))/14</f>
        <v>0.564285714285714</v>
      </c>
      <c r="AR35" s="2" t="n">
        <f aca="false">1-SUMPRODUCT(ABS(Ongebruikt!$AH$35:$AU$35-Gebruikt!$AH$42:$AU$42))/14</f>
        <v>0.685714285714286</v>
      </c>
      <c r="AS35" s="2" t="n">
        <f aca="false">1-SUMPRODUCT(ABS(Ongebruikt!$AH$35:$AU$35-Gebruikt!$AH$43:$AU$43))/14</f>
        <v>0.578571428571429</v>
      </c>
      <c r="AT35" s="2" t="n">
        <f aca="false">1-SUMPRODUCT(ABS(Ongebruikt!$AH$35:$AU$35-Gebruikt!$AH$44:$AU$44))/14</f>
        <v>0.721428571428571</v>
      </c>
      <c r="AU35" s="2" t="n">
        <f aca="false">1-SUMPRODUCT(ABS(Ongebruikt!$AH$35:$AU$35-Gebruikt!$AH$45:$AU$45))/14</f>
        <v>0.578571428571429</v>
      </c>
      <c r="AV35" s="2" t="n">
        <f aca="false">1-SUMPRODUCT(ABS(Ongebruikt!$AH$35:$AU$35-Gebruikt!$AH$46:$AU$46))/14</f>
        <v>0.85</v>
      </c>
      <c r="AW35" s="2" t="n">
        <f aca="false">1-SUMPRODUCT(ABS(Ongebruikt!$AH$35:$AU$35-Gebruikt!$AH$47:$AU$47))/14</f>
        <v>0.685714285714286</v>
      </c>
      <c r="AX35" s="2" t="n">
        <f aca="false">1-SUMPRODUCT(ABS(Ongebruikt!$AH$35:$AU$35-Gebruikt!$AH$48:$AU$48))/14</f>
        <v>0.578571428571429</v>
      </c>
    </row>
    <row r="36" customFormat="false" ht="15" hidden="false" customHeight="false" outlineLevel="0" collapsed="false">
      <c r="A36" s="8" t="str">
        <f aca="false">Ongebruikt!A36</f>
        <v>U33</v>
      </c>
      <c r="B36" s="8" t="str">
        <f aca="false">Ongebruikt!B36</f>
        <v>Batch inversion (Montgomery trick)</v>
      </c>
      <c r="C36" s="2" t="n">
        <f aca="false">1-D36</f>
        <v>0</v>
      </c>
      <c r="D36" s="2" t="n">
        <f aca="false">MAX(F36:AX36)</f>
        <v>1</v>
      </c>
      <c r="E36" s="2" t="str">
        <f aca="false">INDEX(Gebruikt!$B$4:$B$48,MATCH(D36,F36:AX36,0))</f>
        <v>Karatsuba squaring (recursive, in place)</v>
      </c>
      <c r="F36" s="2" t="n">
        <f aca="false">1-SUMPRODUCT(ABS(Ongebruikt!$AH$36:$AU$36-Gebruikt!$AH$4:$AU$4))/14</f>
        <v>0.828571428571429</v>
      </c>
      <c r="G36" s="2" t="n">
        <f aca="false">1-SUMPRODUCT(ABS(Ongebruikt!$AH$36:$AU$36-Gebruikt!$AH$5:$AU$5))/14</f>
        <v>0.742857142857143</v>
      </c>
      <c r="H36" s="2" t="n">
        <f aca="false">1-SUMPRODUCT(ABS(Ongebruikt!$AH$36:$AU$36-Gebruikt!$AH$6:$AU$6))/14</f>
        <v>0.742857142857143</v>
      </c>
      <c r="I36" s="2" t="n">
        <f aca="false">1-SUMPRODUCT(ABS(Ongebruikt!$AH$36:$AU$36-Gebruikt!$AH$7:$AU$7))/14</f>
        <v>0.671428571428572</v>
      </c>
      <c r="J36" s="2" t="n">
        <f aca="false">1-SUMPRODUCT(ABS(Ongebruikt!$AH$36:$AU$36-Gebruikt!$AH$8:$AU$8))/14</f>
        <v>0.778571428571429</v>
      </c>
      <c r="K36" s="2" t="n">
        <f aca="false">1-SUMPRODUCT(ABS(Ongebruikt!$AH$36:$AU$36-Gebruikt!$AH$9:$AU$9))/14</f>
        <v>0.571428571428571</v>
      </c>
      <c r="L36" s="2" t="n">
        <f aca="false">1-SUMPRODUCT(ABS(Ongebruikt!$AH$36:$AU$36-Gebruikt!$AH$10:$AU$10))/14</f>
        <v>0.571428571428571</v>
      </c>
      <c r="M36" s="2" t="n">
        <f aca="false">1-SUMPRODUCT(ABS(Ongebruikt!$AH$36:$AU$36-Gebruikt!$AH$11:$AU$11))/14</f>
        <v>0.571428571428571</v>
      </c>
      <c r="N36" s="2" t="n">
        <f aca="false">1-SUMPRODUCT(ABS(Ongebruikt!$AH$36:$AU$36-Gebruikt!$AH$12:$AU$12))/14</f>
        <v>0.535714285714286</v>
      </c>
      <c r="O36" s="2" t="n">
        <f aca="false">1-SUMPRODUCT(ABS(Ongebruikt!$AH$36:$AU$36-Gebruikt!$AH$13:$AU$13))/14</f>
        <v>0.828571428571429</v>
      </c>
      <c r="P36" s="2" t="n">
        <f aca="false">1-SUMPRODUCT(ABS(Ongebruikt!$AH$36:$AU$36-Gebruikt!$AH$14:$AU$14))/14</f>
        <v>0.642857142857143</v>
      </c>
      <c r="Q36" s="2" t="n">
        <f aca="false">1-SUMPRODUCT(ABS(Ongebruikt!$AH$36:$AU$36-Gebruikt!$AH$15:$AU$15))/14</f>
        <v>0.714285714285714</v>
      </c>
      <c r="R36" s="2" t="n">
        <f aca="false">1-SUMPRODUCT(ABS(Ongebruikt!$AH$36:$AU$36-Gebruikt!$AH$16:$AU$16))/14</f>
        <v>0.714285714285714</v>
      </c>
      <c r="S36" s="2" t="n">
        <f aca="false">1-SUMPRODUCT(ABS(Ongebruikt!$AH$36:$AU$36-Gebruikt!$AH$17:$AU$17))/14</f>
        <v>0.635714285714286</v>
      </c>
      <c r="T36" s="2" t="n">
        <f aca="false">1-SUMPRODUCT(ABS(Ongebruikt!$AH$36:$AU$36-Gebruikt!$AH$18:$AU$18))/14</f>
        <v>0.828571428571429</v>
      </c>
      <c r="U36" s="2" t="n">
        <f aca="false">1-SUMPRODUCT(ABS(Ongebruikt!$AH$36:$AU$36-Gebruikt!$AH$19:$AU$19))/14</f>
        <v>0.885714285714286</v>
      </c>
      <c r="V36" s="2" t="n">
        <f aca="false">1-SUMPRODUCT(ABS(Ongebruikt!$AH$36:$AU$36-Gebruikt!$AH$20:$AU$20))/14</f>
        <v>0.571428571428571</v>
      </c>
      <c r="W36" s="2" t="n">
        <f aca="false">1-SUMPRODUCT(ABS(Ongebruikt!$AH$36:$AU$36-Gebruikt!$AH$21:$AU$21))/14</f>
        <v>0.742857142857143</v>
      </c>
      <c r="X36" s="2" t="n">
        <f aca="false">1-SUMPRODUCT(ABS(Ongebruikt!$AH$36:$AU$36-Gebruikt!$AH$22:$AU$22))/14</f>
        <v>0.792857142857143</v>
      </c>
      <c r="Y36" s="2" t="n">
        <f aca="false">1-SUMPRODUCT(ABS(Ongebruikt!$AH$36:$AU$36-Gebruikt!$AH$23:$AU$23))/14</f>
        <v>0.778571428571429</v>
      </c>
      <c r="Z36" s="2" t="n">
        <f aca="false">1-SUMPRODUCT(ABS(Ongebruikt!$AH$36:$AU$36-Gebruikt!$AH$24:$AU$24))/14</f>
        <v>0.778571428571429</v>
      </c>
      <c r="AA36" s="2" t="n">
        <f aca="false">1-SUMPRODUCT(ABS(Ongebruikt!$AH$36:$AU$36-Gebruikt!$AH$25:$AU$25))/14</f>
        <v>1</v>
      </c>
      <c r="AB36" s="2" t="n">
        <f aca="false">1-SUMPRODUCT(ABS(Ongebruikt!$AH$36:$AU$36-Gebruikt!$AH$26:$AU$26))/14</f>
        <v>0.857142857142857</v>
      </c>
      <c r="AC36" s="2" t="n">
        <f aca="false">1-SUMPRODUCT(ABS(Ongebruikt!$AH$36:$AU$36-Gebruikt!$AH$27:$AU$27))/14</f>
        <v>0.9</v>
      </c>
      <c r="AD36" s="2" t="n">
        <f aca="false">1-SUMPRODUCT(ABS(Ongebruikt!$AH$36:$AU$36-Gebruikt!$AH$28:$AU$28))/14</f>
        <v>0.828571428571429</v>
      </c>
      <c r="AE36" s="2" t="n">
        <f aca="false">1-SUMPRODUCT(ABS(Ongebruikt!$AH$36:$AU$36-Gebruikt!$AH$29:$AU$29))/14</f>
        <v>0.635714285714286</v>
      </c>
      <c r="AF36" s="2" t="n">
        <f aca="false">1-SUMPRODUCT(ABS(Ongebruikt!$AH$36:$AU$36-Gebruikt!$AH$30:$AU$30))/14</f>
        <v>0.55</v>
      </c>
      <c r="AG36" s="2" t="n">
        <f aca="false">1-SUMPRODUCT(ABS(Ongebruikt!$AH$36:$AU$36-Gebruikt!$AH$31:$AU$31))/14</f>
        <v>0.9</v>
      </c>
      <c r="AH36" s="2" t="n">
        <f aca="false">1-SUMPRODUCT(ABS(Ongebruikt!$AH$36:$AU$36-Gebruikt!$AH$32:$AU$32))/14</f>
        <v>0.828571428571429</v>
      </c>
      <c r="AI36" s="2" t="n">
        <f aca="false">1-SUMPRODUCT(ABS(Ongebruikt!$AH$36:$AU$36-Gebruikt!$AH$33:$AU$33))/14</f>
        <v>0.635714285714286</v>
      </c>
      <c r="AJ36" s="2" t="n">
        <f aca="false">1-SUMPRODUCT(ABS(Ongebruikt!$AH$36:$AU$36-Gebruikt!$AH$34:$AU$34))/14</f>
        <v>0.742857142857143</v>
      </c>
      <c r="AK36" s="2" t="n">
        <f aca="false">1-SUMPRODUCT(ABS(Ongebruikt!$AH$36:$AU$36-Gebruikt!$AH$35:$AU$35))/14</f>
        <v>0.778571428571429</v>
      </c>
      <c r="AL36" s="2" t="n">
        <f aca="false">1-SUMPRODUCT(ABS(Ongebruikt!$AH$36:$AU$36-Gebruikt!$AH$36:$AU$36))/14</f>
        <v>0.9</v>
      </c>
      <c r="AM36" s="2" t="n">
        <f aca="false">1-SUMPRODUCT(ABS(Ongebruikt!$AH$36:$AU$36-Gebruikt!$AH$37:$AU$37))/14</f>
        <v>0.757142857142857</v>
      </c>
      <c r="AN36" s="2" t="n">
        <f aca="false">1-SUMPRODUCT(ABS(Ongebruikt!$AH$36:$AU$36-Gebruikt!$AH$38:$AU$38))/14</f>
        <v>0.635714285714286</v>
      </c>
      <c r="AO36" s="2" t="n">
        <f aca="false">1-SUMPRODUCT(ABS(Ongebruikt!$AH$36:$AU$36-Gebruikt!$AH$39:$AU$39))/14</f>
        <v>0.742857142857143</v>
      </c>
      <c r="AP36" s="2" t="n">
        <f aca="false">1-SUMPRODUCT(ABS(Ongebruikt!$AH$36:$AU$36-Gebruikt!$AH$40:$AU$40))/14</f>
        <v>0.571428571428571</v>
      </c>
      <c r="AQ36" s="2" t="n">
        <f aca="false">1-SUMPRODUCT(ABS(Ongebruikt!$AH$36:$AU$36-Gebruikt!$AH$41:$AU$41))/14</f>
        <v>0.621428571428571</v>
      </c>
      <c r="AR36" s="2" t="n">
        <f aca="false">1-SUMPRODUCT(ABS(Ongebruikt!$AH$36:$AU$36-Gebruikt!$AH$42:$AU$42))/14</f>
        <v>0.571428571428571</v>
      </c>
      <c r="AS36" s="2" t="n">
        <f aca="false">1-SUMPRODUCT(ABS(Ongebruikt!$AH$36:$AU$36-Gebruikt!$AH$43:$AU$43))/14</f>
        <v>0.635714285714286</v>
      </c>
      <c r="AT36" s="2" t="n">
        <f aca="false">1-SUMPRODUCT(ABS(Ongebruikt!$AH$36:$AU$36-Gebruikt!$AH$44:$AU$44))/14</f>
        <v>0.778571428571429</v>
      </c>
      <c r="AU36" s="2" t="n">
        <f aca="false">1-SUMPRODUCT(ABS(Ongebruikt!$AH$36:$AU$36-Gebruikt!$AH$45:$AU$45))/14</f>
        <v>0.635714285714286</v>
      </c>
      <c r="AV36" s="2" t="n">
        <f aca="false">1-SUMPRODUCT(ABS(Ongebruikt!$AH$36:$AU$36-Gebruikt!$AH$46:$AU$46))/14</f>
        <v>0.935714285714286</v>
      </c>
      <c r="AW36" s="2" t="n">
        <f aca="false">1-SUMPRODUCT(ABS(Ongebruikt!$AH$36:$AU$36-Gebruikt!$AH$47:$AU$47))/14</f>
        <v>0.571428571428571</v>
      </c>
      <c r="AX36" s="2" t="n">
        <f aca="false">1-SUMPRODUCT(ABS(Ongebruikt!$AH$36:$AU$36-Gebruikt!$AH$48:$AU$48))/14</f>
        <v>0.635714285714286</v>
      </c>
    </row>
    <row r="37" customFormat="false" ht="15" hidden="false" customHeight="false" outlineLevel="0" collapsed="false">
      <c r="A37" s="8" t="str">
        <f aca="false">Ongebruikt!A37</f>
        <v>U34</v>
      </c>
      <c r="B37" s="8" t="str">
        <f aca="false">Ongebruikt!B37</f>
        <v>2-adic Hensel/Newton inversion</v>
      </c>
      <c r="C37" s="2" t="n">
        <f aca="false">1-D37</f>
        <v>0.0142857142857142</v>
      </c>
      <c r="D37" s="2" t="n">
        <f aca="false">MAX(F37:AX37)</f>
        <v>0.985714285714286</v>
      </c>
      <c r="E37" s="2" t="str">
        <f aca="false">INDEX(Gebruikt!$B$4:$B$48,MATCH(D37,F37:AX37,0))</f>
        <v>Karatsuba squaring (recursive, in place)</v>
      </c>
      <c r="F37" s="2" t="n">
        <f aca="false">1-SUMPRODUCT(ABS(Ongebruikt!$AH$37:$AU$37-Gebruikt!$AH$4:$AU$4))/14</f>
        <v>0.842857142857143</v>
      </c>
      <c r="G37" s="2" t="n">
        <f aca="false">1-SUMPRODUCT(ABS(Ongebruikt!$AH$37:$AU$37-Gebruikt!$AH$5:$AU$5))/14</f>
        <v>0.757142857142857</v>
      </c>
      <c r="H37" s="2" t="n">
        <f aca="false">1-SUMPRODUCT(ABS(Ongebruikt!$AH$37:$AU$37-Gebruikt!$AH$6:$AU$6))/14</f>
        <v>0.757142857142857</v>
      </c>
      <c r="I37" s="2" t="n">
        <f aca="false">1-SUMPRODUCT(ABS(Ongebruikt!$AH$37:$AU$37-Gebruikt!$AH$7:$AU$7))/14</f>
        <v>0.685714285714286</v>
      </c>
      <c r="J37" s="2" t="n">
        <f aca="false">1-SUMPRODUCT(ABS(Ongebruikt!$AH$37:$AU$37-Gebruikt!$AH$8:$AU$8))/14</f>
        <v>0.792857142857143</v>
      </c>
      <c r="K37" s="2" t="n">
        <f aca="false">1-SUMPRODUCT(ABS(Ongebruikt!$AH$37:$AU$37-Gebruikt!$AH$9:$AU$9))/14</f>
        <v>0.585714285714286</v>
      </c>
      <c r="L37" s="2" t="n">
        <f aca="false">1-SUMPRODUCT(ABS(Ongebruikt!$AH$37:$AU$37-Gebruikt!$AH$10:$AU$10))/14</f>
        <v>0.585714285714286</v>
      </c>
      <c r="M37" s="2" t="n">
        <f aca="false">1-SUMPRODUCT(ABS(Ongebruikt!$AH$37:$AU$37-Gebruikt!$AH$11:$AU$11))/14</f>
        <v>0.585714285714286</v>
      </c>
      <c r="N37" s="2" t="n">
        <f aca="false">1-SUMPRODUCT(ABS(Ongebruikt!$AH$37:$AU$37-Gebruikt!$AH$12:$AU$12))/14</f>
        <v>0.55</v>
      </c>
      <c r="O37" s="2" t="n">
        <f aca="false">1-SUMPRODUCT(ABS(Ongebruikt!$AH$37:$AU$37-Gebruikt!$AH$13:$AU$13))/14</f>
        <v>0.842857142857143</v>
      </c>
      <c r="P37" s="2" t="n">
        <f aca="false">1-SUMPRODUCT(ABS(Ongebruikt!$AH$37:$AU$37-Gebruikt!$AH$14:$AU$14))/14</f>
        <v>0.657142857142857</v>
      </c>
      <c r="Q37" s="2" t="n">
        <f aca="false">1-SUMPRODUCT(ABS(Ongebruikt!$AH$37:$AU$37-Gebruikt!$AH$15:$AU$15))/14</f>
        <v>0.728571428571429</v>
      </c>
      <c r="R37" s="2" t="n">
        <f aca="false">1-SUMPRODUCT(ABS(Ongebruikt!$AH$37:$AU$37-Gebruikt!$AH$16:$AU$16))/14</f>
        <v>0.728571428571429</v>
      </c>
      <c r="S37" s="2" t="n">
        <f aca="false">1-SUMPRODUCT(ABS(Ongebruikt!$AH$37:$AU$37-Gebruikt!$AH$17:$AU$17))/14</f>
        <v>0.65</v>
      </c>
      <c r="T37" s="2" t="n">
        <f aca="false">1-SUMPRODUCT(ABS(Ongebruikt!$AH$37:$AU$37-Gebruikt!$AH$18:$AU$18))/14</f>
        <v>0.842857142857143</v>
      </c>
      <c r="U37" s="2" t="n">
        <f aca="false">1-SUMPRODUCT(ABS(Ongebruikt!$AH$37:$AU$37-Gebruikt!$AH$19:$AU$19))/14</f>
        <v>0.9</v>
      </c>
      <c r="V37" s="2" t="n">
        <f aca="false">1-SUMPRODUCT(ABS(Ongebruikt!$AH$37:$AU$37-Gebruikt!$AH$20:$AU$20))/14</f>
        <v>0.585714285714286</v>
      </c>
      <c r="W37" s="2" t="n">
        <f aca="false">1-SUMPRODUCT(ABS(Ongebruikt!$AH$37:$AU$37-Gebruikt!$AH$21:$AU$21))/14</f>
        <v>0.757142857142857</v>
      </c>
      <c r="X37" s="2" t="n">
        <f aca="false">1-SUMPRODUCT(ABS(Ongebruikt!$AH$37:$AU$37-Gebruikt!$AH$22:$AU$22))/14</f>
        <v>0.778571428571429</v>
      </c>
      <c r="Y37" s="2" t="n">
        <f aca="false">1-SUMPRODUCT(ABS(Ongebruikt!$AH$37:$AU$37-Gebruikt!$AH$23:$AU$23))/14</f>
        <v>0.792857142857143</v>
      </c>
      <c r="Z37" s="2" t="n">
        <f aca="false">1-SUMPRODUCT(ABS(Ongebruikt!$AH$37:$AU$37-Gebruikt!$AH$24:$AU$24))/14</f>
        <v>0.792857142857143</v>
      </c>
      <c r="AA37" s="2" t="n">
        <f aca="false">1-SUMPRODUCT(ABS(Ongebruikt!$AH$37:$AU$37-Gebruikt!$AH$25:$AU$25))/14</f>
        <v>0.985714285714286</v>
      </c>
      <c r="AB37" s="2" t="n">
        <f aca="false">1-SUMPRODUCT(ABS(Ongebruikt!$AH$37:$AU$37-Gebruikt!$AH$26:$AU$26))/14</f>
        <v>0.842857142857143</v>
      </c>
      <c r="AC37" s="2" t="n">
        <f aca="false">1-SUMPRODUCT(ABS(Ongebruikt!$AH$37:$AU$37-Gebruikt!$AH$27:$AU$27))/14</f>
        <v>0.914285714285714</v>
      </c>
      <c r="AD37" s="2" t="n">
        <f aca="false">1-SUMPRODUCT(ABS(Ongebruikt!$AH$37:$AU$37-Gebruikt!$AH$28:$AU$28))/14</f>
        <v>0.842857142857143</v>
      </c>
      <c r="AE37" s="2" t="n">
        <f aca="false">1-SUMPRODUCT(ABS(Ongebruikt!$AH$37:$AU$37-Gebruikt!$AH$29:$AU$29))/14</f>
        <v>0.65</v>
      </c>
      <c r="AF37" s="2" t="n">
        <f aca="false">1-SUMPRODUCT(ABS(Ongebruikt!$AH$37:$AU$37-Gebruikt!$AH$30:$AU$30))/14</f>
        <v>0.564285714285714</v>
      </c>
      <c r="AG37" s="2" t="n">
        <f aca="false">1-SUMPRODUCT(ABS(Ongebruikt!$AH$37:$AU$37-Gebruikt!$AH$31:$AU$31))/14</f>
        <v>0.914285714285714</v>
      </c>
      <c r="AH37" s="2" t="n">
        <f aca="false">1-SUMPRODUCT(ABS(Ongebruikt!$AH$37:$AU$37-Gebruikt!$AH$32:$AU$32))/14</f>
        <v>0.842857142857143</v>
      </c>
      <c r="AI37" s="2" t="n">
        <f aca="false">1-SUMPRODUCT(ABS(Ongebruikt!$AH$37:$AU$37-Gebruikt!$AH$33:$AU$33))/14</f>
        <v>0.65</v>
      </c>
      <c r="AJ37" s="2" t="n">
        <f aca="false">1-SUMPRODUCT(ABS(Ongebruikt!$AH$37:$AU$37-Gebruikt!$AH$34:$AU$34))/14</f>
        <v>0.757142857142857</v>
      </c>
      <c r="AK37" s="2" t="n">
        <f aca="false">1-SUMPRODUCT(ABS(Ongebruikt!$AH$37:$AU$37-Gebruikt!$AH$35:$AU$35))/14</f>
        <v>0.792857142857143</v>
      </c>
      <c r="AL37" s="2" t="n">
        <f aca="false">1-SUMPRODUCT(ABS(Ongebruikt!$AH$37:$AU$37-Gebruikt!$AH$36:$AU$36))/14</f>
        <v>0.914285714285714</v>
      </c>
      <c r="AM37" s="2" t="n">
        <f aca="false">1-SUMPRODUCT(ABS(Ongebruikt!$AH$37:$AU$37-Gebruikt!$AH$37:$AU$37))/14</f>
        <v>0.771428571428571</v>
      </c>
      <c r="AN37" s="2" t="n">
        <f aca="false">1-SUMPRODUCT(ABS(Ongebruikt!$AH$37:$AU$37-Gebruikt!$AH$38:$AU$38))/14</f>
        <v>0.65</v>
      </c>
      <c r="AO37" s="2" t="n">
        <f aca="false">1-SUMPRODUCT(ABS(Ongebruikt!$AH$37:$AU$37-Gebruikt!$AH$39:$AU$39))/14</f>
        <v>0.757142857142857</v>
      </c>
      <c r="AP37" s="2" t="n">
        <f aca="false">1-SUMPRODUCT(ABS(Ongebruikt!$AH$37:$AU$37-Gebruikt!$AH$40:$AU$40))/14</f>
        <v>0.585714285714286</v>
      </c>
      <c r="AQ37" s="2" t="n">
        <f aca="false">1-SUMPRODUCT(ABS(Ongebruikt!$AH$37:$AU$37-Gebruikt!$AH$41:$AU$41))/14</f>
        <v>0.635714285714286</v>
      </c>
      <c r="AR37" s="2" t="n">
        <f aca="false">1-SUMPRODUCT(ABS(Ongebruikt!$AH$37:$AU$37-Gebruikt!$AH$42:$AU$42))/14</f>
        <v>0.585714285714286</v>
      </c>
      <c r="AS37" s="2" t="n">
        <f aca="false">1-SUMPRODUCT(ABS(Ongebruikt!$AH$37:$AU$37-Gebruikt!$AH$43:$AU$43))/14</f>
        <v>0.65</v>
      </c>
      <c r="AT37" s="2" t="n">
        <f aca="false">1-SUMPRODUCT(ABS(Ongebruikt!$AH$37:$AU$37-Gebruikt!$AH$44:$AU$44))/14</f>
        <v>0.792857142857143</v>
      </c>
      <c r="AU37" s="2" t="n">
        <f aca="false">1-SUMPRODUCT(ABS(Ongebruikt!$AH$37:$AU$37-Gebruikt!$AH$45:$AU$45))/14</f>
        <v>0.65</v>
      </c>
      <c r="AV37" s="2" t="n">
        <f aca="false">1-SUMPRODUCT(ABS(Ongebruikt!$AH$37:$AU$37-Gebruikt!$AH$46:$AU$46))/14</f>
        <v>0.921428571428572</v>
      </c>
      <c r="AW37" s="2" t="n">
        <f aca="false">1-SUMPRODUCT(ABS(Ongebruikt!$AH$37:$AU$37-Gebruikt!$AH$47:$AU$47))/14</f>
        <v>0.585714285714286</v>
      </c>
      <c r="AX37" s="2" t="n">
        <f aca="false">1-SUMPRODUCT(ABS(Ongebruikt!$AH$37:$AU$37-Gebruikt!$AH$48:$AU$48))/14</f>
        <v>0.65</v>
      </c>
    </row>
    <row r="38" customFormat="false" ht="15" hidden="false" customHeight="false" outlineLevel="0" collapsed="false">
      <c r="A38" s="8" t="str">
        <f aca="false">Ongebruikt!A38</f>
        <v>U35</v>
      </c>
      <c r="B38" s="8" t="str">
        <f aca="false">Ongebruikt!B38</f>
        <v>Square-only multiplication (quarter squares)</v>
      </c>
      <c r="C38" s="2" t="n">
        <f aca="false">1-D38</f>
        <v>0.0285714285714286</v>
      </c>
      <c r="D38" s="2" t="n">
        <f aca="false">MAX(F38:AX38)</f>
        <v>0.971428571428571</v>
      </c>
      <c r="E38" s="2" t="str">
        <f aca="false">INDEX(Gebruikt!$B$4:$B$48,MATCH(D38,F38:AX38,0))</f>
        <v>Karatsuba squaring (recursive, in place)</v>
      </c>
      <c r="F38" s="2" t="n">
        <f aca="false">1-SUMPRODUCT(ABS(Ongebruikt!$AH$38:$AU$38-Gebruikt!$AH$4:$AU$4))/14</f>
        <v>0.8</v>
      </c>
      <c r="G38" s="2" t="n">
        <f aca="false">1-SUMPRODUCT(ABS(Ongebruikt!$AH$38:$AU$38-Gebruikt!$AH$5:$AU$5))/14</f>
        <v>0.742857142857143</v>
      </c>
      <c r="H38" s="2" t="n">
        <f aca="false">1-SUMPRODUCT(ABS(Ongebruikt!$AH$38:$AU$38-Gebruikt!$AH$6:$AU$6))/14</f>
        <v>0.742857142857143</v>
      </c>
      <c r="I38" s="2" t="n">
        <f aca="false">1-SUMPRODUCT(ABS(Ongebruikt!$AH$38:$AU$38-Gebruikt!$AH$7:$AU$7))/14</f>
        <v>0.671428571428572</v>
      </c>
      <c r="J38" s="2" t="n">
        <f aca="false">1-SUMPRODUCT(ABS(Ongebruikt!$AH$38:$AU$38-Gebruikt!$AH$8:$AU$8))/14</f>
        <v>0.778571428571429</v>
      </c>
      <c r="K38" s="2" t="n">
        <f aca="false">1-SUMPRODUCT(ABS(Ongebruikt!$AH$38:$AU$38-Gebruikt!$AH$9:$AU$9))/14</f>
        <v>0.6</v>
      </c>
      <c r="L38" s="2" t="n">
        <f aca="false">1-SUMPRODUCT(ABS(Ongebruikt!$AH$38:$AU$38-Gebruikt!$AH$10:$AU$10))/14</f>
        <v>0.6</v>
      </c>
      <c r="M38" s="2" t="n">
        <f aca="false">1-SUMPRODUCT(ABS(Ongebruikt!$AH$38:$AU$38-Gebruikt!$AH$11:$AU$11))/14</f>
        <v>0.6</v>
      </c>
      <c r="N38" s="2" t="n">
        <f aca="false">1-SUMPRODUCT(ABS(Ongebruikt!$AH$38:$AU$38-Gebruikt!$AH$12:$AU$12))/14</f>
        <v>0.564285714285714</v>
      </c>
      <c r="O38" s="2" t="n">
        <f aca="false">1-SUMPRODUCT(ABS(Ongebruikt!$AH$38:$AU$38-Gebruikt!$AH$13:$AU$13))/14</f>
        <v>0.828571428571429</v>
      </c>
      <c r="P38" s="2" t="n">
        <f aca="false">1-SUMPRODUCT(ABS(Ongebruikt!$AH$38:$AU$38-Gebruikt!$AH$14:$AU$14))/14</f>
        <v>0.671428571428572</v>
      </c>
      <c r="Q38" s="2" t="n">
        <f aca="false">1-SUMPRODUCT(ABS(Ongebruikt!$AH$38:$AU$38-Gebruikt!$AH$15:$AU$15))/14</f>
        <v>0.742857142857143</v>
      </c>
      <c r="R38" s="2" t="n">
        <f aca="false">1-SUMPRODUCT(ABS(Ongebruikt!$AH$38:$AU$38-Gebruikt!$AH$16:$AU$16))/14</f>
        <v>0.742857142857143</v>
      </c>
      <c r="S38" s="2" t="n">
        <f aca="false">1-SUMPRODUCT(ABS(Ongebruikt!$AH$38:$AU$38-Gebruikt!$AH$17:$AU$17))/14</f>
        <v>0.635714285714286</v>
      </c>
      <c r="T38" s="2" t="n">
        <f aca="false">1-SUMPRODUCT(ABS(Ongebruikt!$AH$38:$AU$38-Gebruikt!$AH$18:$AU$18))/14</f>
        <v>0.8</v>
      </c>
      <c r="U38" s="2" t="n">
        <f aca="false">1-SUMPRODUCT(ABS(Ongebruikt!$AH$38:$AU$38-Gebruikt!$AH$19:$AU$19))/14</f>
        <v>0.885714285714286</v>
      </c>
      <c r="V38" s="2" t="n">
        <f aca="false">1-SUMPRODUCT(ABS(Ongebruikt!$AH$38:$AU$38-Gebruikt!$AH$20:$AU$20))/14</f>
        <v>0.6</v>
      </c>
      <c r="W38" s="2" t="n">
        <f aca="false">1-SUMPRODUCT(ABS(Ongebruikt!$AH$38:$AU$38-Gebruikt!$AH$21:$AU$21))/14</f>
        <v>0.742857142857143</v>
      </c>
      <c r="X38" s="2" t="n">
        <f aca="false">1-SUMPRODUCT(ABS(Ongebruikt!$AH$38:$AU$38-Gebruikt!$AH$22:$AU$22))/14</f>
        <v>0.821428571428571</v>
      </c>
      <c r="Y38" s="2" t="n">
        <f aca="false">1-SUMPRODUCT(ABS(Ongebruikt!$AH$38:$AU$38-Gebruikt!$AH$23:$AU$23))/14</f>
        <v>0.778571428571429</v>
      </c>
      <c r="Z38" s="2" t="n">
        <f aca="false">1-SUMPRODUCT(ABS(Ongebruikt!$AH$38:$AU$38-Gebruikt!$AH$24:$AU$24))/14</f>
        <v>0.778571428571429</v>
      </c>
      <c r="AA38" s="2" t="n">
        <f aca="false">1-SUMPRODUCT(ABS(Ongebruikt!$AH$38:$AU$38-Gebruikt!$AH$25:$AU$25))/14</f>
        <v>0.971428571428571</v>
      </c>
      <c r="AB38" s="2" t="n">
        <f aca="false">1-SUMPRODUCT(ABS(Ongebruikt!$AH$38:$AU$38-Gebruikt!$AH$26:$AU$26))/14</f>
        <v>0.828571428571429</v>
      </c>
      <c r="AC38" s="2" t="n">
        <f aca="false">1-SUMPRODUCT(ABS(Ongebruikt!$AH$38:$AU$38-Gebruikt!$AH$27:$AU$27))/14</f>
        <v>0.9</v>
      </c>
      <c r="AD38" s="2" t="n">
        <f aca="false">1-SUMPRODUCT(ABS(Ongebruikt!$AH$38:$AU$38-Gebruikt!$AH$28:$AU$28))/14</f>
        <v>0.828571428571429</v>
      </c>
      <c r="AE38" s="2" t="n">
        <f aca="false">1-SUMPRODUCT(ABS(Ongebruikt!$AH$38:$AU$38-Gebruikt!$AH$29:$AU$29))/14</f>
        <v>0.635714285714286</v>
      </c>
      <c r="AF38" s="2" t="n">
        <f aca="false">1-SUMPRODUCT(ABS(Ongebruikt!$AH$38:$AU$38-Gebruikt!$AH$30:$AU$30))/14</f>
        <v>0.578571428571429</v>
      </c>
      <c r="AG38" s="2" t="n">
        <f aca="false">1-SUMPRODUCT(ABS(Ongebruikt!$AH$38:$AU$38-Gebruikt!$AH$31:$AU$31))/14</f>
        <v>0.871428571428571</v>
      </c>
      <c r="AH38" s="2" t="n">
        <f aca="false">1-SUMPRODUCT(ABS(Ongebruikt!$AH$38:$AU$38-Gebruikt!$AH$32:$AU$32))/14</f>
        <v>0.8</v>
      </c>
      <c r="AI38" s="2" t="n">
        <f aca="false">1-SUMPRODUCT(ABS(Ongebruikt!$AH$38:$AU$38-Gebruikt!$AH$33:$AU$33))/14</f>
        <v>0.635714285714286</v>
      </c>
      <c r="AJ38" s="2" t="n">
        <f aca="false">1-SUMPRODUCT(ABS(Ongebruikt!$AH$38:$AU$38-Gebruikt!$AH$34:$AU$34))/14</f>
        <v>0.742857142857143</v>
      </c>
      <c r="AK38" s="2" t="n">
        <f aca="false">1-SUMPRODUCT(ABS(Ongebruikt!$AH$38:$AU$38-Gebruikt!$AH$35:$AU$35))/14</f>
        <v>0.778571428571429</v>
      </c>
      <c r="AL38" s="2" t="n">
        <f aca="false">1-SUMPRODUCT(ABS(Ongebruikt!$AH$38:$AU$38-Gebruikt!$AH$36:$AU$36))/14</f>
        <v>0.871428571428571</v>
      </c>
      <c r="AM38" s="2" t="n">
        <f aca="false">1-SUMPRODUCT(ABS(Ongebruikt!$AH$38:$AU$38-Gebruikt!$AH$37:$AU$37))/14</f>
        <v>0.728571428571429</v>
      </c>
      <c r="AN38" s="2" t="n">
        <f aca="false">1-SUMPRODUCT(ABS(Ongebruikt!$AH$38:$AU$38-Gebruikt!$AH$38:$AU$38))/14</f>
        <v>0.635714285714286</v>
      </c>
      <c r="AO38" s="2" t="n">
        <f aca="false">1-SUMPRODUCT(ABS(Ongebruikt!$AH$38:$AU$38-Gebruikt!$AH$39:$AU$39))/14</f>
        <v>0.742857142857143</v>
      </c>
      <c r="AP38" s="2" t="n">
        <f aca="false">1-SUMPRODUCT(ABS(Ongebruikt!$AH$38:$AU$38-Gebruikt!$AH$40:$AU$40))/14</f>
        <v>0.6</v>
      </c>
      <c r="AQ38" s="2" t="n">
        <f aca="false">1-SUMPRODUCT(ABS(Ongebruikt!$AH$38:$AU$38-Gebruikt!$AH$41:$AU$41))/14</f>
        <v>0.65</v>
      </c>
      <c r="AR38" s="2" t="n">
        <f aca="false">1-SUMPRODUCT(ABS(Ongebruikt!$AH$38:$AU$38-Gebruikt!$AH$42:$AU$42))/14</f>
        <v>0.6</v>
      </c>
      <c r="AS38" s="2" t="n">
        <f aca="false">1-SUMPRODUCT(ABS(Ongebruikt!$AH$38:$AU$38-Gebruikt!$AH$43:$AU$43))/14</f>
        <v>0.635714285714286</v>
      </c>
      <c r="AT38" s="2" t="n">
        <f aca="false">1-SUMPRODUCT(ABS(Ongebruikt!$AH$38:$AU$38-Gebruikt!$AH$44:$AU$44))/14</f>
        <v>0.778571428571429</v>
      </c>
      <c r="AU38" s="2" t="n">
        <f aca="false">1-SUMPRODUCT(ABS(Ongebruikt!$AH$38:$AU$38-Gebruikt!$AH$45:$AU$45))/14</f>
        <v>0.635714285714286</v>
      </c>
      <c r="AV38" s="2" t="n">
        <f aca="false">1-SUMPRODUCT(ABS(Ongebruikt!$AH$38:$AU$38-Gebruikt!$AH$46:$AU$46))/14</f>
        <v>0.964285714285714</v>
      </c>
      <c r="AW38" s="2" t="n">
        <f aca="false">1-SUMPRODUCT(ABS(Ongebruikt!$AH$38:$AU$38-Gebruikt!$AH$47:$AU$47))/14</f>
        <v>0.6</v>
      </c>
      <c r="AX38" s="2" t="n">
        <f aca="false">1-SUMPRODUCT(ABS(Ongebruikt!$AH$38:$AU$38-Gebruikt!$AH$48:$AU$48))/14</f>
        <v>0.635714285714286</v>
      </c>
    </row>
    <row r="39" customFormat="false" ht="15" hidden="false" customHeight="false" outlineLevel="0" collapsed="false">
      <c r="A39" s="8" t="str">
        <f aca="false">Ongebruikt!A39</f>
        <v>U36</v>
      </c>
      <c r="B39" s="8" t="str">
        <f aca="false">Ongebruikt!B39</f>
        <v>ZK-proof validation of withheld circuits</v>
      </c>
      <c r="C39" s="2" t="n">
        <f aca="false">1-D39</f>
        <v>0.0428571428571428</v>
      </c>
      <c r="D39" s="2" t="n">
        <f aca="false">MAX(F39:AX39)</f>
        <v>0.957142857142857</v>
      </c>
      <c r="E39" s="2" t="str">
        <f aca="false">INDEX(Gebruikt!$B$4:$B$48,MATCH(D39,F39:AX39,0))</f>
        <v>(r,s) cswap boundary merge</v>
      </c>
      <c r="F39" s="2" t="n">
        <f aca="false">1-SUMPRODUCT(ABS(Ongebruikt!$AH$39:$AU$39-Gebruikt!$AH$4:$AU$4))/14</f>
        <v>0.585714285714286</v>
      </c>
      <c r="G39" s="2" t="n">
        <f aca="false">1-SUMPRODUCT(ABS(Ongebruikt!$AH$39:$AU$39-Gebruikt!$AH$5:$AU$5))/14</f>
        <v>0.957142857142857</v>
      </c>
      <c r="H39" s="2" t="n">
        <f aca="false">1-SUMPRODUCT(ABS(Ongebruikt!$AH$39:$AU$39-Gebruikt!$AH$6:$AU$6))/14</f>
        <v>0.957142857142857</v>
      </c>
      <c r="I39" s="2" t="n">
        <f aca="false">1-SUMPRODUCT(ABS(Ongebruikt!$AH$39:$AU$39-Gebruikt!$AH$7:$AU$7))/14</f>
        <v>0.742857142857143</v>
      </c>
      <c r="J39" s="2" t="n">
        <f aca="false">1-SUMPRODUCT(ABS(Ongebruikt!$AH$39:$AU$39-Gebruikt!$AH$8:$AU$8))/14</f>
        <v>0.921428571428571</v>
      </c>
      <c r="K39" s="2" t="n">
        <f aca="false">1-SUMPRODUCT(ABS(Ongebruikt!$AH$39:$AU$39-Gebruikt!$AH$9:$AU$9))/14</f>
        <v>0.814285714285714</v>
      </c>
      <c r="L39" s="2" t="n">
        <f aca="false">1-SUMPRODUCT(ABS(Ongebruikt!$AH$39:$AU$39-Gebruikt!$AH$10:$AU$10))/14</f>
        <v>0.814285714285714</v>
      </c>
      <c r="M39" s="2" t="n">
        <f aca="false">1-SUMPRODUCT(ABS(Ongebruikt!$AH$39:$AU$39-Gebruikt!$AH$11:$AU$11))/14</f>
        <v>0.814285714285714</v>
      </c>
      <c r="N39" s="2" t="n">
        <f aca="false">1-SUMPRODUCT(ABS(Ongebruikt!$AH$39:$AU$39-Gebruikt!$AH$12:$AU$12))/14</f>
        <v>0.707142857142857</v>
      </c>
      <c r="O39" s="2" t="n">
        <f aca="false">1-SUMPRODUCT(ABS(Ongebruikt!$AH$39:$AU$39-Gebruikt!$AH$13:$AU$13))/14</f>
        <v>0.585714285714286</v>
      </c>
      <c r="P39" s="2" t="n">
        <f aca="false">1-SUMPRODUCT(ABS(Ongebruikt!$AH$39:$AU$39-Gebruikt!$AH$14:$AU$14))/14</f>
        <v>0.885714285714286</v>
      </c>
      <c r="Q39" s="2" t="n">
        <f aca="false">1-SUMPRODUCT(ABS(Ongebruikt!$AH$39:$AU$39-Gebruikt!$AH$15:$AU$15))/14</f>
        <v>0.957142857142857</v>
      </c>
      <c r="R39" s="2" t="n">
        <f aca="false">1-SUMPRODUCT(ABS(Ongebruikt!$AH$39:$AU$39-Gebruikt!$AH$16:$AU$16))/14</f>
        <v>0.957142857142857</v>
      </c>
      <c r="S39" s="2" t="n">
        <f aca="false">1-SUMPRODUCT(ABS(Ongebruikt!$AH$39:$AU$39-Gebruikt!$AH$17:$AU$17))/14</f>
        <v>0.778571428571429</v>
      </c>
      <c r="T39" s="2" t="n">
        <f aca="false">1-SUMPRODUCT(ABS(Ongebruikt!$AH$39:$AU$39-Gebruikt!$AH$18:$AU$18))/14</f>
        <v>0.585714285714286</v>
      </c>
      <c r="U39" s="2" t="n">
        <f aca="false">1-SUMPRODUCT(ABS(Ongebruikt!$AH$39:$AU$39-Gebruikt!$AH$19:$AU$19))/14</f>
        <v>0.671428571428572</v>
      </c>
      <c r="V39" s="2" t="n">
        <f aca="false">1-SUMPRODUCT(ABS(Ongebruikt!$AH$39:$AU$39-Gebruikt!$AH$20:$AU$20))/14</f>
        <v>0.814285714285714</v>
      </c>
      <c r="W39" s="2" t="n">
        <f aca="false">1-SUMPRODUCT(ABS(Ongebruikt!$AH$39:$AU$39-Gebruikt!$AH$21:$AU$21))/14</f>
        <v>0.957142857142857</v>
      </c>
      <c r="X39" s="2" t="n">
        <f aca="false">1-SUMPRODUCT(ABS(Ongebruikt!$AH$39:$AU$39-Gebruikt!$AH$22:$AU$22))/14</f>
        <v>0.592857142857143</v>
      </c>
      <c r="Y39" s="2" t="n">
        <f aca="false">1-SUMPRODUCT(ABS(Ongebruikt!$AH$39:$AU$39-Gebruikt!$AH$23:$AU$23))/14</f>
        <v>0.921428571428571</v>
      </c>
      <c r="Z39" s="2" t="n">
        <f aca="false">1-SUMPRODUCT(ABS(Ongebruikt!$AH$39:$AU$39-Gebruikt!$AH$24:$AU$24))/14</f>
        <v>0.921428571428571</v>
      </c>
      <c r="AA39" s="2" t="n">
        <f aca="false">1-SUMPRODUCT(ABS(Ongebruikt!$AH$39:$AU$39-Gebruikt!$AH$25:$AU$25))/14</f>
        <v>0.7</v>
      </c>
      <c r="AB39" s="2" t="n">
        <f aca="false">1-SUMPRODUCT(ABS(Ongebruikt!$AH$39:$AU$39-Gebruikt!$AH$26:$AU$26))/14</f>
        <v>0.557142857142857</v>
      </c>
      <c r="AC39" s="2" t="n">
        <f aca="false">1-SUMPRODUCT(ABS(Ongebruikt!$AH$39:$AU$39-Gebruikt!$AH$27:$AU$27))/14</f>
        <v>0.657142857142857</v>
      </c>
      <c r="AD39" s="2" t="n">
        <f aca="false">1-SUMPRODUCT(ABS(Ongebruikt!$AH$39:$AU$39-Gebruikt!$AH$28:$AU$28))/14</f>
        <v>0.585714285714286</v>
      </c>
      <c r="AE39" s="2" t="n">
        <f aca="false">1-SUMPRODUCT(ABS(Ongebruikt!$AH$39:$AU$39-Gebruikt!$AH$29:$AU$29))/14</f>
        <v>0.778571428571429</v>
      </c>
      <c r="AF39" s="2" t="n">
        <f aca="false">1-SUMPRODUCT(ABS(Ongebruikt!$AH$39:$AU$39-Gebruikt!$AH$30:$AU$30))/14</f>
        <v>0.692857142857143</v>
      </c>
      <c r="AG39" s="2" t="n">
        <f aca="false">1-SUMPRODUCT(ABS(Ongebruikt!$AH$39:$AU$39-Gebruikt!$AH$31:$AU$31))/14</f>
        <v>0.657142857142857</v>
      </c>
      <c r="AH39" s="2" t="n">
        <f aca="false">1-SUMPRODUCT(ABS(Ongebruikt!$AH$39:$AU$39-Gebruikt!$AH$32:$AU$32))/14</f>
        <v>0.585714285714286</v>
      </c>
      <c r="AI39" s="2" t="n">
        <f aca="false">1-SUMPRODUCT(ABS(Ongebruikt!$AH$39:$AU$39-Gebruikt!$AH$33:$AU$33))/14</f>
        <v>0.778571428571429</v>
      </c>
      <c r="AJ39" s="2" t="n">
        <f aca="false">1-SUMPRODUCT(ABS(Ongebruikt!$AH$39:$AU$39-Gebruikt!$AH$34:$AU$34))/14</f>
        <v>0.957142857142857</v>
      </c>
      <c r="AK39" s="2" t="n">
        <f aca="false">1-SUMPRODUCT(ABS(Ongebruikt!$AH$39:$AU$39-Gebruikt!$AH$35:$AU$35))/14</f>
        <v>0.921428571428571</v>
      </c>
      <c r="AL39" s="2" t="n">
        <f aca="false">1-SUMPRODUCT(ABS(Ongebruikt!$AH$39:$AU$39-Gebruikt!$AH$36:$AU$36))/14</f>
        <v>0.657142857142857</v>
      </c>
      <c r="AM39" s="2" t="n">
        <f aca="false">1-SUMPRODUCT(ABS(Ongebruikt!$AH$39:$AU$39-Gebruikt!$AH$37:$AU$37))/14</f>
        <v>0.514285714285714</v>
      </c>
      <c r="AN39" s="2" t="n">
        <f aca="false">1-SUMPRODUCT(ABS(Ongebruikt!$AH$39:$AU$39-Gebruikt!$AH$38:$AU$38))/14</f>
        <v>0.778571428571429</v>
      </c>
      <c r="AO39" s="2" t="n">
        <f aca="false">1-SUMPRODUCT(ABS(Ongebruikt!$AH$39:$AU$39-Gebruikt!$AH$39:$AU$39))/14</f>
        <v>0.528571428571429</v>
      </c>
      <c r="AP39" s="2" t="n">
        <f aca="false">1-SUMPRODUCT(ABS(Ongebruikt!$AH$39:$AU$39-Gebruikt!$AH$40:$AU$40))/14</f>
        <v>0.814285714285714</v>
      </c>
      <c r="AQ39" s="2" t="n">
        <f aca="false">1-SUMPRODUCT(ABS(Ongebruikt!$AH$39:$AU$39-Gebruikt!$AH$41:$AU$41))/14</f>
        <v>0.764285714285714</v>
      </c>
      <c r="AR39" s="2" t="n">
        <f aca="false">1-SUMPRODUCT(ABS(Ongebruikt!$AH$39:$AU$39-Gebruikt!$AH$42:$AU$42))/14</f>
        <v>0.814285714285714</v>
      </c>
      <c r="AS39" s="2" t="n">
        <f aca="false">1-SUMPRODUCT(ABS(Ongebruikt!$AH$39:$AU$39-Gebruikt!$AH$43:$AU$43))/14</f>
        <v>0.778571428571429</v>
      </c>
      <c r="AT39" s="2" t="n">
        <f aca="false">1-SUMPRODUCT(ABS(Ongebruikt!$AH$39:$AU$39-Gebruikt!$AH$44:$AU$44))/14</f>
        <v>0.921428571428571</v>
      </c>
      <c r="AU39" s="2" t="n">
        <f aca="false">1-SUMPRODUCT(ABS(Ongebruikt!$AH$39:$AU$39-Gebruikt!$AH$45:$AU$45))/14</f>
        <v>0.778571428571429</v>
      </c>
      <c r="AV39" s="2" t="n">
        <f aca="false">1-SUMPRODUCT(ABS(Ongebruikt!$AH$39:$AU$39-Gebruikt!$AH$46:$AU$46))/14</f>
        <v>0.735714285714286</v>
      </c>
      <c r="AW39" s="2" t="n">
        <f aca="false">1-SUMPRODUCT(ABS(Ongebruikt!$AH$39:$AU$39-Gebruikt!$AH$47:$AU$47))/14</f>
        <v>0.814285714285714</v>
      </c>
      <c r="AX39" s="2" t="n">
        <f aca="false">1-SUMPRODUCT(ABS(Ongebruikt!$AH$39:$AU$39-Gebruikt!$AH$48:$AU$48))/14</f>
        <v>0.778571428571429</v>
      </c>
    </row>
    <row r="40" customFormat="false" ht="15" hidden="false" customHeight="false" outlineLevel="0" collapsed="false">
      <c r="A40" s="8" t="str">
        <f aca="false">Tekstboek!A4</f>
        <v>B01</v>
      </c>
      <c r="B40" s="8" t="str">
        <f aca="false">Tekstboek!B4</f>
        <v>[2 qubits] CNOT / CZ</v>
      </c>
      <c r="C40" s="2" t="n">
        <f aca="false">1-D40</f>
        <v>0.114285714285714</v>
      </c>
      <c r="D40" s="2" t="n">
        <f aca="false">MAX(F40:AX40)</f>
        <v>0.885714285714286</v>
      </c>
      <c r="E40" s="2" t="str">
        <f aca="false">INDEX(Gebruikt!$B$4:$B$48,MATCH(D40,F40:AX40,0))</f>
        <v>Classical prefilter + GPU nonce search pipeline</v>
      </c>
      <c r="F40" s="2" t="n">
        <f aca="false">1-SUMPRODUCT(ABS(Tekstboek!$AH$4:$AU$4-Gebruikt!$AH$4:$AU$4))/14</f>
        <v>0.485714285714286</v>
      </c>
      <c r="G40" s="2" t="n">
        <f aca="false">1-SUMPRODUCT(ABS(Tekstboek!$AH$4:$AU$4-Gebruikt!$AH$5:$AU$5))/14</f>
        <v>0.857142857142857</v>
      </c>
      <c r="H40" s="2" t="n">
        <f aca="false">1-SUMPRODUCT(ABS(Tekstboek!$AH$4:$AU$4-Gebruikt!$AH$6:$AU$6))/14</f>
        <v>0.857142857142857</v>
      </c>
      <c r="I40" s="2" t="n">
        <f aca="false">1-SUMPRODUCT(ABS(Tekstboek!$AH$4:$AU$4-Gebruikt!$AH$7:$AU$7))/14</f>
        <v>0.642857142857143</v>
      </c>
      <c r="J40" s="2" t="n">
        <f aca="false">1-SUMPRODUCT(ABS(Tekstboek!$AH$4:$AU$4-Gebruikt!$AH$8:$AU$8))/14</f>
        <v>0.821428571428571</v>
      </c>
      <c r="K40" s="2" t="n">
        <f aca="false">1-SUMPRODUCT(ABS(Tekstboek!$AH$4:$AU$4-Gebruikt!$AH$9:$AU$9))/14</f>
        <v>0.742857142857143</v>
      </c>
      <c r="L40" s="2" t="n">
        <f aca="false">1-SUMPRODUCT(ABS(Tekstboek!$AH$4:$AU$4-Gebruikt!$AH$10:$AU$10))/14</f>
        <v>0.742857142857143</v>
      </c>
      <c r="M40" s="2" t="n">
        <f aca="false">1-SUMPRODUCT(ABS(Tekstboek!$AH$4:$AU$4-Gebruikt!$AH$11:$AU$11))/14</f>
        <v>0.742857142857143</v>
      </c>
      <c r="N40" s="2" t="n">
        <f aca="false">1-SUMPRODUCT(ABS(Tekstboek!$AH$4:$AU$4-Gebruikt!$AH$12:$AU$12))/14</f>
        <v>0.635714285714286</v>
      </c>
      <c r="O40" s="2" t="n">
        <f aca="false">1-SUMPRODUCT(ABS(Tekstboek!$AH$4:$AU$4-Gebruikt!$AH$13:$AU$13))/14</f>
        <v>0.514285714285714</v>
      </c>
      <c r="P40" s="2" t="n">
        <f aca="false">1-SUMPRODUCT(ABS(Tekstboek!$AH$4:$AU$4-Gebruikt!$AH$14:$AU$14))/14</f>
        <v>0.814285714285714</v>
      </c>
      <c r="Q40" s="2" t="n">
        <f aca="false">1-SUMPRODUCT(ABS(Tekstboek!$AH$4:$AU$4-Gebruikt!$AH$15:$AU$15))/14</f>
        <v>0.885714285714286</v>
      </c>
      <c r="R40" s="2" t="n">
        <f aca="false">1-SUMPRODUCT(ABS(Tekstboek!$AH$4:$AU$4-Gebruikt!$AH$16:$AU$16))/14</f>
        <v>0.885714285714286</v>
      </c>
      <c r="S40" s="2" t="n">
        <f aca="false">1-SUMPRODUCT(ABS(Tekstboek!$AH$4:$AU$4-Gebruikt!$AH$17:$AU$17))/14</f>
        <v>0.707142857142857</v>
      </c>
      <c r="T40" s="2" t="n">
        <f aca="false">1-SUMPRODUCT(ABS(Tekstboek!$AH$4:$AU$4-Gebruikt!$AH$18:$AU$18))/14</f>
        <v>0.485714285714286</v>
      </c>
      <c r="U40" s="2" t="n">
        <f aca="false">1-SUMPRODUCT(ABS(Tekstboek!$AH$4:$AU$4-Gebruikt!$AH$19:$AU$19))/14</f>
        <v>0.571428571428571</v>
      </c>
      <c r="V40" s="2" t="n">
        <f aca="false">1-SUMPRODUCT(ABS(Tekstboek!$AH$4:$AU$4-Gebruikt!$AH$20:$AU$20))/14</f>
        <v>0.742857142857143</v>
      </c>
      <c r="W40" s="2" t="n">
        <f aca="false">1-SUMPRODUCT(ABS(Tekstboek!$AH$4:$AU$4-Gebruikt!$AH$21:$AU$21))/14</f>
        <v>0.857142857142857</v>
      </c>
      <c r="X40" s="2" t="n">
        <f aca="false">1-SUMPRODUCT(ABS(Tekstboek!$AH$4:$AU$4-Gebruikt!$AH$22:$AU$22))/14</f>
        <v>0.578571428571429</v>
      </c>
      <c r="Y40" s="2" t="n">
        <f aca="false">1-SUMPRODUCT(ABS(Tekstboek!$AH$4:$AU$4-Gebruikt!$AH$23:$AU$23))/14</f>
        <v>0.821428571428571</v>
      </c>
      <c r="Z40" s="2" t="n">
        <f aca="false">1-SUMPRODUCT(ABS(Tekstboek!$AH$4:$AU$4-Gebruikt!$AH$24:$AU$24))/14</f>
        <v>0.821428571428571</v>
      </c>
      <c r="AA40" s="2" t="n">
        <f aca="false">1-SUMPRODUCT(ABS(Tekstboek!$AH$4:$AU$4-Gebruikt!$AH$25:$AU$25))/14</f>
        <v>0.657142857142857</v>
      </c>
      <c r="AB40" s="2" t="n">
        <f aca="false">1-SUMPRODUCT(ABS(Tekstboek!$AH$4:$AU$4-Gebruikt!$AH$26:$AU$26))/14</f>
        <v>0.514285714285714</v>
      </c>
      <c r="AC40" s="2" t="n">
        <f aca="false">1-SUMPRODUCT(ABS(Tekstboek!$AH$4:$AU$4-Gebruikt!$AH$27:$AU$27))/14</f>
        <v>0.585714285714286</v>
      </c>
      <c r="AD40" s="2" t="n">
        <f aca="false">1-SUMPRODUCT(ABS(Tekstboek!$AH$4:$AU$4-Gebruikt!$AH$28:$AU$28))/14</f>
        <v>0.514285714285714</v>
      </c>
      <c r="AE40" s="2" t="n">
        <f aca="false">1-SUMPRODUCT(ABS(Tekstboek!$AH$4:$AU$4-Gebruikt!$AH$29:$AU$29))/14</f>
        <v>0.678571428571429</v>
      </c>
      <c r="AF40" s="2" t="n">
        <f aca="false">1-SUMPRODUCT(ABS(Tekstboek!$AH$4:$AU$4-Gebruikt!$AH$30:$AU$30))/14</f>
        <v>0.65</v>
      </c>
      <c r="AG40" s="2" t="n">
        <f aca="false">1-SUMPRODUCT(ABS(Tekstboek!$AH$4:$AU$4-Gebruikt!$AH$31:$AU$31))/14</f>
        <v>0.557142857142857</v>
      </c>
      <c r="AH40" s="2" t="n">
        <f aca="false">1-SUMPRODUCT(ABS(Tekstboek!$AH$4:$AU$4-Gebruikt!$AH$32:$AU$32))/14</f>
        <v>0.485714285714286</v>
      </c>
      <c r="AI40" s="2" t="n">
        <f aca="false">1-SUMPRODUCT(ABS(Tekstboek!$AH$4:$AU$4-Gebruikt!$AH$33:$AU$33))/14</f>
        <v>0.678571428571429</v>
      </c>
      <c r="AJ40" s="2" t="n">
        <f aca="false">1-SUMPRODUCT(ABS(Tekstboek!$AH$4:$AU$4-Gebruikt!$AH$34:$AU$34))/14</f>
        <v>0.857142857142857</v>
      </c>
      <c r="AK40" s="2" t="n">
        <f aca="false">1-SUMPRODUCT(ABS(Tekstboek!$AH$4:$AU$4-Gebruikt!$AH$35:$AU$35))/14</f>
        <v>0.821428571428571</v>
      </c>
      <c r="AL40" s="2" t="n">
        <f aca="false">1-SUMPRODUCT(ABS(Tekstboek!$AH$4:$AU$4-Gebruikt!$AH$36:$AU$36))/14</f>
        <v>0.557142857142857</v>
      </c>
      <c r="AM40" s="2" t="n">
        <f aca="false">1-SUMPRODUCT(ABS(Tekstboek!$AH$4:$AU$4-Gebruikt!$AH$37:$AU$37))/14</f>
        <v>0.414285714285714</v>
      </c>
      <c r="AN40" s="2" t="n">
        <f aca="false">1-SUMPRODUCT(ABS(Tekstboek!$AH$4:$AU$4-Gebruikt!$AH$38:$AU$38))/14</f>
        <v>0.678571428571429</v>
      </c>
      <c r="AO40" s="2" t="n">
        <f aca="false">1-SUMPRODUCT(ABS(Tekstboek!$AH$4:$AU$4-Gebruikt!$AH$39:$AU$39))/14</f>
        <v>0.428571428571429</v>
      </c>
      <c r="AP40" s="2" t="n">
        <f aca="false">1-SUMPRODUCT(ABS(Tekstboek!$AH$4:$AU$4-Gebruikt!$AH$40:$AU$40))/14</f>
        <v>0.742857142857143</v>
      </c>
      <c r="AQ40" s="2" t="n">
        <f aca="false">1-SUMPRODUCT(ABS(Tekstboek!$AH$4:$AU$4-Gebruikt!$AH$41:$AU$41))/14</f>
        <v>0.721428571428571</v>
      </c>
      <c r="AR40" s="2" t="n">
        <f aca="false">1-SUMPRODUCT(ABS(Tekstboek!$AH$4:$AU$4-Gebruikt!$AH$42:$AU$42))/14</f>
        <v>0.742857142857143</v>
      </c>
      <c r="AS40" s="2" t="n">
        <f aca="false">1-SUMPRODUCT(ABS(Tekstboek!$AH$4:$AU$4-Gebruikt!$AH$43:$AU$43))/14</f>
        <v>0.707142857142857</v>
      </c>
      <c r="AT40" s="2" t="n">
        <f aca="false">1-SUMPRODUCT(ABS(Tekstboek!$AH$4:$AU$4-Gebruikt!$AH$44:$AU$44))/14</f>
        <v>0.85</v>
      </c>
      <c r="AU40" s="2" t="n">
        <f aca="false">1-SUMPRODUCT(ABS(Tekstboek!$AH$4:$AU$4-Gebruikt!$AH$45:$AU$45))/14</f>
        <v>0.707142857142857</v>
      </c>
      <c r="AV40" s="2" t="n">
        <f aca="false">1-SUMPRODUCT(ABS(Tekstboek!$AH$4:$AU$4-Gebruikt!$AH$46:$AU$46))/14</f>
        <v>0.721428571428571</v>
      </c>
      <c r="AW40" s="2" t="n">
        <f aca="false">1-SUMPRODUCT(ABS(Tekstboek!$AH$4:$AU$4-Gebruikt!$AH$47:$AU$47))/14</f>
        <v>0.742857142857143</v>
      </c>
      <c r="AX40" s="2" t="n">
        <f aca="false">1-SUMPRODUCT(ABS(Tekstboek!$AH$4:$AU$4-Gebruikt!$AH$48:$AU$48))/14</f>
        <v>0.707142857142857</v>
      </c>
    </row>
    <row r="41" customFormat="false" ht="15" hidden="false" customHeight="false" outlineLevel="0" collapsed="false">
      <c r="A41" s="8" t="str">
        <f aca="false">Tekstboek!A5</f>
        <v>B02</v>
      </c>
      <c r="B41" s="8" t="str">
        <f aca="false">Tekstboek!B5</f>
        <v>[2 qubits] SWAP (3 CNOT) / wire relabel</v>
      </c>
      <c r="C41" s="2" t="n">
        <f aca="false">1-D41</f>
        <v>0.0428571428571428</v>
      </c>
      <c r="D41" s="2" t="n">
        <f aca="false">MAX(F41:AX41)</f>
        <v>0.957142857142857</v>
      </c>
      <c r="E41" s="2" t="str">
        <f aca="false">INDEX(Gebruikt!$B$4:$B$48,MATCH(D41,F41:AX41,0))</f>
        <v>Classical prefilter + GPU nonce search pipeline</v>
      </c>
      <c r="F41" s="2" t="n">
        <f aca="false">1-SUMPRODUCT(ABS(Tekstboek!$AH$5:$AU$5-Gebruikt!$AH$4:$AU$4))/14</f>
        <v>0.557142857142857</v>
      </c>
      <c r="G41" s="2" t="n">
        <f aca="false">1-SUMPRODUCT(ABS(Tekstboek!$AH$5:$AU$5-Gebruikt!$AH$5:$AU$5))/14</f>
        <v>0.928571428571429</v>
      </c>
      <c r="H41" s="2" t="n">
        <f aca="false">1-SUMPRODUCT(ABS(Tekstboek!$AH$5:$AU$5-Gebruikt!$AH$6:$AU$6))/14</f>
        <v>0.928571428571429</v>
      </c>
      <c r="I41" s="2" t="n">
        <f aca="false">1-SUMPRODUCT(ABS(Tekstboek!$AH$5:$AU$5-Gebruikt!$AH$7:$AU$7))/14</f>
        <v>0.714285714285714</v>
      </c>
      <c r="J41" s="2" t="n">
        <f aca="false">1-SUMPRODUCT(ABS(Tekstboek!$AH$5:$AU$5-Gebruikt!$AH$8:$AU$8))/14</f>
        <v>0.892857142857143</v>
      </c>
      <c r="K41" s="2" t="n">
        <f aca="false">1-SUMPRODUCT(ABS(Tekstboek!$AH$5:$AU$5-Gebruikt!$AH$9:$AU$9))/14</f>
        <v>0.814285714285714</v>
      </c>
      <c r="L41" s="2" t="n">
        <f aca="false">1-SUMPRODUCT(ABS(Tekstboek!$AH$5:$AU$5-Gebruikt!$AH$10:$AU$10))/14</f>
        <v>0.814285714285714</v>
      </c>
      <c r="M41" s="2" t="n">
        <f aca="false">1-SUMPRODUCT(ABS(Tekstboek!$AH$5:$AU$5-Gebruikt!$AH$11:$AU$11))/14</f>
        <v>0.814285714285714</v>
      </c>
      <c r="N41" s="2" t="n">
        <f aca="false">1-SUMPRODUCT(ABS(Tekstboek!$AH$5:$AU$5-Gebruikt!$AH$12:$AU$12))/14</f>
        <v>0.707142857142857</v>
      </c>
      <c r="O41" s="2" t="n">
        <f aca="false">1-SUMPRODUCT(ABS(Tekstboek!$AH$5:$AU$5-Gebruikt!$AH$13:$AU$13))/14</f>
        <v>0.585714285714286</v>
      </c>
      <c r="P41" s="2" t="n">
        <f aca="false">1-SUMPRODUCT(ABS(Tekstboek!$AH$5:$AU$5-Gebruikt!$AH$14:$AU$14))/14</f>
        <v>0.885714285714286</v>
      </c>
      <c r="Q41" s="2" t="n">
        <f aca="false">1-SUMPRODUCT(ABS(Tekstboek!$AH$5:$AU$5-Gebruikt!$AH$15:$AU$15))/14</f>
        <v>0.957142857142857</v>
      </c>
      <c r="R41" s="2" t="n">
        <f aca="false">1-SUMPRODUCT(ABS(Tekstboek!$AH$5:$AU$5-Gebruikt!$AH$16:$AU$16))/14</f>
        <v>0.957142857142857</v>
      </c>
      <c r="S41" s="2" t="n">
        <f aca="false">1-SUMPRODUCT(ABS(Tekstboek!$AH$5:$AU$5-Gebruikt!$AH$17:$AU$17))/14</f>
        <v>0.778571428571429</v>
      </c>
      <c r="T41" s="2" t="n">
        <f aca="false">1-SUMPRODUCT(ABS(Tekstboek!$AH$5:$AU$5-Gebruikt!$AH$18:$AU$18))/14</f>
        <v>0.557142857142857</v>
      </c>
      <c r="U41" s="2" t="n">
        <f aca="false">1-SUMPRODUCT(ABS(Tekstboek!$AH$5:$AU$5-Gebruikt!$AH$19:$AU$19))/14</f>
        <v>0.642857142857143</v>
      </c>
      <c r="V41" s="2" t="n">
        <f aca="false">1-SUMPRODUCT(ABS(Tekstboek!$AH$5:$AU$5-Gebruikt!$AH$20:$AU$20))/14</f>
        <v>0.814285714285714</v>
      </c>
      <c r="W41" s="2" t="n">
        <f aca="false">1-SUMPRODUCT(ABS(Tekstboek!$AH$5:$AU$5-Gebruikt!$AH$21:$AU$21))/14</f>
        <v>0.928571428571429</v>
      </c>
      <c r="X41" s="2" t="n">
        <f aca="false">1-SUMPRODUCT(ABS(Tekstboek!$AH$5:$AU$5-Gebruikt!$AH$22:$AU$22))/14</f>
        <v>0.65</v>
      </c>
      <c r="Y41" s="2" t="n">
        <f aca="false">1-SUMPRODUCT(ABS(Tekstboek!$AH$5:$AU$5-Gebruikt!$AH$23:$AU$23))/14</f>
        <v>0.892857142857143</v>
      </c>
      <c r="Z41" s="2" t="n">
        <f aca="false">1-SUMPRODUCT(ABS(Tekstboek!$AH$5:$AU$5-Gebruikt!$AH$24:$AU$24))/14</f>
        <v>0.892857142857143</v>
      </c>
      <c r="AA41" s="2" t="n">
        <f aca="false">1-SUMPRODUCT(ABS(Tekstboek!$AH$5:$AU$5-Gebruikt!$AH$25:$AU$25))/14</f>
        <v>0.728571428571429</v>
      </c>
      <c r="AB41" s="2" t="n">
        <f aca="false">1-SUMPRODUCT(ABS(Tekstboek!$AH$5:$AU$5-Gebruikt!$AH$26:$AU$26))/14</f>
        <v>0.585714285714286</v>
      </c>
      <c r="AC41" s="2" t="n">
        <f aca="false">1-SUMPRODUCT(ABS(Tekstboek!$AH$5:$AU$5-Gebruikt!$AH$27:$AU$27))/14</f>
        <v>0.657142857142857</v>
      </c>
      <c r="AD41" s="2" t="n">
        <f aca="false">1-SUMPRODUCT(ABS(Tekstboek!$AH$5:$AU$5-Gebruikt!$AH$28:$AU$28))/14</f>
        <v>0.585714285714286</v>
      </c>
      <c r="AE41" s="2" t="n">
        <f aca="false">1-SUMPRODUCT(ABS(Tekstboek!$AH$5:$AU$5-Gebruikt!$AH$29:$AU$29))/14</f>
        <v>0.75</v>
      </c>
      <c r="AF41" s="2" t="n">
        <f aca="false">1-SUMPRODUCT(ABS(Tekstboek!$AH$5:$AU$5-Gebruikt!$AH$30:$AU$30))/14</f>
        <v>0.721428571428571</v>
      </c>
      <c r="AG41" s="2" t="n">
        <f aca="false">1-SUMPRODUCT(ABS(Tekstboek!$AH$5:$AU$5-Gebruikt!$AH$31:$AU$31))/14</f>
        <v>0.628571428571429</v>
      </c>
      <c r="AH41" s="2" t="n">
        <f aca="false">1-SUMPRODUCT(ABS(Tekstboek!$AH$5:$AU$5-Gebruikt!$AH$32:$AU$32))/14</f>
        <v>0.557142857142857</v>
      </c>
      <c r="AI41" s="2" t="n">
        <f aca="false">1-SUMPRODUCT(ABS(Tekstboek!$AH$5:$AU$5-Gebruikt!$AH$33:$AU$33))/14</f>
        <v>0.75</v>
      </c>
      <c r="AJ41" s="2" t="n">
        <f aca="false">1-SUMPRODUCT(ABS(Tekstboek!$AH$5:$AU$5-Gebruikt!$AH$34:$AU$34))/14</f>
        <v>0.928571428571429</v>
      </c>
      <c r="AK41" s="2" t="n">
        <f aca="false">1-SUMPRODUCT(ABS(Tekstboek!$AH$5:$AU$5-Gebruikt!$AH$35:$AU$35))/14</f>
        <v>0.892857142857143</v>
      </c>
      <c r="AL41" s="2" t="n">
        <f aca="false">1-SUMPRODUCT(ABS(Tekstboek!$AH$5:$AU$5-Gebruikt!$AH$36:$AU$36))/14</f>
        <v>0.628571428571429</v>
      </c>
      <c r="AM41" s="2" t="n">
        <f aca="false">1-SUMPRODUCT(ABS(Tekstboek!$AH$5:$AU$5-Gebruikt!$AH$37:$AU$37))/14</f>
        <v>0.485714285714286</v>
      </c>
      <c r="AN41" s="2" t="n">
        <f aca="false">1-SUMPRODUCT(ABS(Tekstboek!$AH$5:$AU$5-Gebruikt!$AH$38:$AU$38))/14</f>
        <v>0.75</v>
      </c>
      <c r="AO41" s="2" t="n">
        <f aca="false">1-SUMPRODUCT(ABS(Tekstboek!$AH$5:$AU$5-Gebruikt!$AH$39:$AU$39))/14</f>
        <v>0.5</v>
      </c>
      <c r="AP41" s="2" t="n">
        <f aca="false">1-SUMPRODUCT(ABS(Tekstboek!$AH$5:$AU$5-Gebruikt!$AH$40:$AU$40))/14</f>
        <v>0.814285714285714</v>
      </c>
      <c r="AQ41" s="2" t="n">
        <f aca="false">1-SUMPRODUCT(ABS(Tekstboek!$AH$5:$AU$5-Gebruikt!$AH$41:$AU$41))/14</f>
        <v>0.792857142857143</v>
      </c>
      <c r="AR41" s="2" t="n">
        <f aca="false">1-SUMPRODUCT(ABS(Tekstboek!$AH$5:$AU$5-Gebruikt!$AH$42:$AU$42))/14</f>
        <v>0.814285714285714</v>
      </c>
      <c r="AS41" s="2" t="n">
        <f aca="false">1-SUMPRODUCT(ABS(Tekstboek!$AH$5:$AU$5-Gebruikt!$AH$43:$AU$43))/14</f>
        <v>0.778571428571429</v>
      </c>
      <c r="AT41" s="2" t="n">
        <f aca="false">1-SUMPRODUCT(ABS(Tekstboek!$AH$5:$AU$5-Gebruikt!$AH$44:$AU$44))/14</f>
        <v>0.921428571428572</v>
      </c>
      <c r="AU41" s="2" t="n">
        <f aca="false">1-SUMPRODUCT(ABS(Tekstboek!$AH$5:$AU$5-Gebruikt!$AH$45:$AU$45))/14</f>
        <v>0.778571428571429</v>
      </c>
      <c r="AV41" s="2" t="n">
        <f aca="false">1-SUMPRODUCT(ABS(Tekstboek!$AH$5:$AU$5-Gebruikt!$AH$46:$AU$46))/14</f>
        <v>0.792857142857143</v>
      </c>
      <c r="AW41" s="2" t="n">
        <f aca="false">1-SUMPRODUCT(ABS(Tekstboek!$AH$5:$AU$5-Gebruikt!$AH$47:$AU$47))/14</f>
        <v>0.814285714285714</v>
      </c>
      <c r="AX41" s="2" t="n">
        <f aca="false">1-SUMPRODUCT(ABS(Tekstboek!$AH$5:$AU$5-Gebruikt!$AH$48:$AU$48))/14</f>
        <v>0.778571428571429</v>
      </c>
    </row>
    <row r="42" customFormat="false" ht="15" hidden="false" customHeight="false" outlineLevel="0" collapsed="false">
      <c r="A42" s="8" t="str">
        <f aca="false">Tekstboek!A6</f>
        <v>B03</v>
      </c>
      <c r="B42" s="8" t="str">
        <f aca="false">Tekstboek!B6</f>
        <v>[2 qubits] Z-basis measurement + reset</v>
      </c>
      <c r="C42" s="2" t="n">
        <f aca="false">1-D42</f>
        <v>0.1</v>
      </c>
      <c r="D42" s="2" t="n">
        <f aca="false">MAX(F42:AX42)</f>
        <v>0.9</v>
      </c>
      <c r="E42" s="2" t="str">
        <f aca="false">INDEX(Gebruikt!$B$4:$B$48,MATCH(D42,F42:AX42,0))</f>
        <v>Proved exact op-stream simplification passes</v>
      </c>
      <c r="F42" s="2" t="n">
        <f aca="false">1-SUMPRODUCT(ABS(Tekstboek!$AH$6:$AU$6-Gebruikt!$AH$4:$AU$4))/14</f>
        <v>0.664285714285714</v>
      </c>
      <c r="G42" s="2" t="n">
        <f aca="false">1-SUMPRODUCT(ABS(Tekstboek!$AH$6:$AU$6-Gebruikt!$AH$5:$AU$5))/14</f>
        <v>0.821428571428571</v>
      </c>
      <c r="H42" s="2" t="n">
        <f aca="false">1-SUMPRODUCT(ABS(Tekstboek!$AH$6:$AU$6-Gebruikt!$AH$6:$AU$6))/14</f>
        <v>0.821428571428571</v>
      </c>
      <c r="I42" s="2" t="n">
        <f aca="false">1-SUMPRODUCT(ABS(Tekstboek!$AH$6:$AU$6-Gebruikt!$AH$7:$AU$7))/14</f>
        <v>0.821428571428571</v>
      </c>
      <c r="J42" s="2" t="n">
        <f aca="false">1-SUMPRODUCT(ABS(Tekstboek!$AH$6:$AU$6-Gebruikt!$AH$8:$AU$8))/14</f>
        <v>0.785714285714286</v>
      </c>
      <c r="K42" s="2" t="n">
        <f aca="false">1-SUMPRODUCT(ABS(Tekstboek!$AH$6:$AU$6-Gebruikt!$AH$9:$AU$9))/14</f>
        <v>0.707142857142857</v>
      </c>
      <c r="L42" s="2" t="n">
        <f aca="false">1-SUMPRODUCT(ABS(Tekstboek!$AH$6:$AU$6-Gebruikt!$AH$10:$AU$10))/14</f>
        <v>0.707142857142857</v>
      </c>
      <c r="M42" s="2" t="n">
        <f aca="false">1-SUMPRODUCT(ABS(Tekstboek!$AH$6:$AU$6-Gebruikt!$AH$11:$AU$11))/14</f>
        <v>0.707142857142857</v>
      </c>
      <c r="N42" s="2" t="n">
        <f aca="false">1-SUMPRODUCT(ABS(Tekstboek!$AH$6:$AU$6-Gebruikt!$AH$12:$AU$12))/14</f>
        <v>0.814285714285714</v>
      </c>
      <c r="O42" s="2" t="n">
        <f aca="false">1-SUMPRODUCT(ABS(Tekstboek!$AH$6:$AU$6-Gebruikt!$AH$13:$AU$13))/14</f>
        <v>0.55</v>
      </c>
      <c r="P42" s="2" t="n">
        <f aca="false">1-SUMPRODUCT(ABS(Tekstboek!$AH$6:$AU$6-Gebruikt!$AH$14:$AU$14))/14</f>
        <v>0.778571428571429</v>
      </c>
      <c r="Q42" s="2" t="n">
        <f aca="false">1-SUMPRODUCT(ABS(Tekstboek!$AH$6:$AU$6-Gebruikt!$AH$15:$AU$15))/14</f>
        <v>0.85</v>
      </c>
      <c r="R42" s="2" t="n">
        <f aca="false">1-SUMPRODUCT(ABS(Tekstboek!$AH$6:$AU$6-Gebruikt!$AH$16:$AU$16))/14</f>
        <v>0.85</v>
      </c>
      <c r="S42" s="2" t="n">
        <f aca="false">1-SUMPRODUCT(ABS(Tekstboek!$AH$6:$AU$6-Gebruikt!$AH$17:$AU$17))/14</f>
        <v>0.885714285714286</v>
      </c>
      <c r="T42" s="2" t="n">
        <f aca="false">1-SUMPRODUCT(ABS(Tekstboek!$AH$6:$AU$6-Gebruikt!$AH$18:$AU$18))/14</f>
        <v>0.664285714285714</v>
      </c>
      <c r="U42" s="2" t="n">
        <f aca="false">1-SUMPRODUCT(ABS(Tekstboek!$AH$6:$AU$6-Gebruikt!$AH$19:$AU$19))/14</f>
        <v>0.607142857142857</v>
      </c>
      <c r="V42" s="2" t="n">
        <f aca="false">1-SUMPRODUCT(ABS(Tekstboek!$AH$6:$AU$6-Gebruikt!$AH$20:$AU$20))/14</f>
        <v>0.707142857142857</v>
      </c>
      <c r="W42" s="2" t="n">
        <f aca="false">1-SUMPRODUCT(ABS(Tekstboek!$AH$6:$AU$6-Gebruikt!$AH$21:$AU$21))/14</f>
        <v>0.821428571428571</v>
      </c>
      <c r="X42" s="2" t="n">
        <f aca="false">1-SUMPRODUCT(ABS(Tekstboek!$AH$6:$AU$6-Gebruikt!$AH$22:$AU$22))/14</f>
        <v>0.757142857142857</v>
      </c>
      <c r="Y42" s="2" t="n">
        <f aca="false">1-SUMPRODUCT(ABS(Tekstboek!$AH$6:$AU$6-Gebruikt!$AH$23:$AU$23))/14</f>
        <v>0.785714285714286</v>
      </c>
      <c r="Z42" s="2" t="n">
        <f aca="false">1-SUMPRODUCT(ABS(Tekstboek!$AH$6:$AU$6-Gebruikt!$AH$24:$AU$24))/14</f>
        <v>0.785714285714286</v>
      </c>
      <c r="AA42" s="2" t="n">
        <f aca="false">1-SUMPRODUCT(ABS(Tekstboek!$AH$6:$AU$6-Gebruikt!$AH$25:$AU$25))/14</f>
        <v>0.692857142857143</v>
      </c>
      <c r="AB42" s="2" t="n">
        <f aca="false">1-SUMPRODUCT(ABS(Tekstboek!$AH$6:$AU$6-Gebruikt!$AH$26:$AU$26))/14</f>
        <v>0.692857142857143</v>
      </c>
      <c r="AC42" s="2" t="n">
        <f aca="false">1-SUMPRODUCT(ABS(Tekstboek!$AH$6:$AU$6-Gebruikt!$AH$27:$AU$27))/14</f>
        <v>0.621428571428571</v>
      </c>
      <c r="AD42" s="2" t="n">
        <f aca="false">1-SUMPRODUCT(ABS(Tekstboek!$AH$6:$AU$6-Gebruikt!$AH$28:$AU$28))/14</f>
        <v>0.55</v>
      </c>
      <c r="AE42" s="2" t="n">
        <f aca="false">1-SUMPRODUCT(ABS(Tekstboek!$AH$6:$AU$6-Gebruikt!$AH$29:$AU$29))/14</f>
        <v>0.857142857142857</v>
      </c>
      <c r="AF42" s="2" t="n">
        <f aca="false">1-SUMPRODUCT(ABS(Tekstboek!$AH$6:$AU$6-Gebruikt!$AH$30:$AU$30))/14</f>
        <v>0.828571428571429</v>
      </c>
      <c r="AG42" s="2" t="n">
        <f aca="false">1-SUMPRODUCT(ABS(Tekstboek!$AH$6:$AU$6-Gebruikt!$AH$31:$AU$31))/14</f>
        <v>0.592857142857143</v>
      </c>
      <c r="AH42" s="2" t="n">
        <f aca="false">1-SUMPRODUCT(ABS(Tekstboek!$AH$6:$AU$6-Gebruikt!$AH$32:$AU$32))/14</f>
        <v>0.664285714285714</v>
      </c>
      <c r="AI42" s="2" t="n">
        <f aca="false">1-SUMPRODUCT(ABS(Tekstboek!$AH$6:$AU$6-Gebruikt!$AH$33:$AU$33))/14</f>
        <v>0.857142857142857</v>
      </c>
      <c r="AJ42" s="2" t="n">
        <f aca="false">1-SUMPRODUCT(ABS(Tekstboek!$AH$6:$AU$6-Gebruikt!$AH$34:$AU$34))/14</f>
        <v>0.821428571428571</v>
      </c>
      <c r="AK42" s="2" t="n">
        <f aca="false">1-SUMPRODUCT(ABS(Tekstboek!$AH$6:$AU$6-Gebruikt!$AH$35:$AU$35))/14</f>
        <v>0.785714285714286</v>
      </c>
      <c r="AL42" s="2" t="n">
        <f aca="false">1-SUMPRODUCT(ABS(Tekstboek!$AH$6:$AU$6-Gebruikt!$AH$36:$AU$36))/14</f>
        <v>0.592857142857143</v>
      </c>
      <c r="AM42" s="2" t="n">
        <f aca="false">1-SUMPRODUCT(ABS(Tekstboek!$AH$6:$AU$6-Gebruikt!$AH$37:$AU$37))/14</f>
        <v>0.592857142857143</v>
      </c>
      <c r="AN42" s="2" t="n">
        <f aca="false">1-SUMPRODUCT(ABS(Tekstboek!$AH$6:$AU$6-Gebruikt!$AH$38:$AU$38))/14</f>
        <v>0.857142857142857</v>
      </c>
      <c r="AO42" s="2" t="n">
        <f aca="false">1-SUMPRODUCT(ABS(Tekstboek!$AH$6:$AU$6-Gebruikt!$AH$39:$AU$39))/14</f>
        <v>0.607142857142857</v>
      </c>
      <c r="AP42" s="2" t="n">
        <f aca="false">1-SUMPRODUCT(ABS(Tekstboek!$AH$6:$AU$6-Gebruikt!$AH$40:$AU$40))/14</f>
        <v>0.707142857142857</v>
      </c>
      <c r="AQ42" s="2" t="n">
        <f aca="false">1-SUMPRODUCT(ABS(Tekstboek!$AH$6:$AU$6-Gebruikt!$AH$41:$AU$41))/14</f>
        <v>0.9</v>
      </c>
      <c r="AR42" s="2" t="n">
        <f aca="false">1-SUMPRODUCT(ABS(Tekstboek!$AH$6:$AU$6-Gebruikt!$AH$42:$AU$42))/14</f>
        <v>0.707142857142857</v>
      </c>
      <c r="AS42" s="2" t="n">
        <f aca="false">1-SUMPRODUCT(ABS(Tekstboek!$AH$6:$AU$6-Gebruikt!$AH$43:$AU$43))/14</f>
        <v>0.885714285714286</v>
      </c>
      <c r="AT42" s="2" t="n">
        <f aca="false">1-SUMPRODUCT(ABS(Tekstboek!$AH$6:$AU$6-Gebruikt!$AH$44:$AU$44))/14</f>
        <v>0.885714285714286</v>
      </c>
      <c r="AU42" s="2" t="n">
        <f aca="false">1-SUMPRODUCT(ABS(Tekstboek!$AH$6:$AU$6-Gebruikt!$AH$45:$AU$45))/14</f>
        <v>0.885714285714286</v>
      </c>
      <c r="AV42" s="2" t="n">
        <f aca="false">1-SUMPRODUCT(ABS(Tekstboek!$AH$6:$AU$6-Gebruikt!$AH$46:$AU$46))/14</f>
        <v>0.757142857142857</v>
      </c>
      <c r="AW42" s="2" t="n">
        <f aca="false">1-SUMPRODUCT(ABS(Tekstboek!$AH$6:$AU$6-Gebruikt!$AH$47:$AU$47))/14</f>
        <v>0.707142857142857</v>
      </c>
      <c r="AX42" s="2" t="n">
        <f aca="false">1-SUMPRODUCT(ABS(Tekstboek!$AH$6:$AU$6-Gebruikt!$AH$48:$AU$48))/14</f>
        <v>0.885714285714286</v>
      </c>
    </row>
    <row r="43" customFormat="false" ht="15" hidden="false" customHeight="false" outlineLevel="0" collapsed="false">
      <c r="A43" s="8" t="str">
        <f aca="false">Tekstboek!A7</f>
        <v>B04</v>
      </c>
      <c r="B43" s="8" t="str">
        <f aca="false">Tekstboek!B7</f>
        <v>[2 qubits] X-basis measurement (HMR) + classically controlled CZ</v>
      </c>
      <c r="C43" s="2" t="n">
        <f aca="false">1-D43</f>
        <v>0.0285714285714286</v>
      </c>
      <c r="D43" s="2" t="n">
        <f aca="false">MAX(F43:AX43)</f>
        <v>0.971428571428571</v>
      </c>
      <c r="E43" s="2" t="str">
        <f aca="false">INDEX(Gebruikt!$B$4:$B$48,MATCH(D43,F43:AX43,0))</f>
        <v>Measurement-based uncomputation (Gidney HMR + classically-controlled CZ)</v>
      </c>
      <c r="F43" s="2" t="n">
        <f aca="false">1-SUMPRODUCT(ABS(Tekstboek!$AH$7:$AU$7-Gebruikt!$AH$4:$AU$4))/14</f>
        <v>0.607142857142857</v>
      </c>
      <c r="G43" s="2" t="n">
        <f aca="false">1-SUMPRODUCT(ABS(Tekstboek!$AH$7:$AU$7-Gebruikt!$AH$5:$AU$5))/14</f>
        <v>0.764285714285714</v>
      </c>
      <c r="H43" s="2" t="n">
        <f aca="false">1-SUMPRODUCT(ABS(Tekstboek!$AH$7:$AU$7-Gebruikt!$AH$6:$AU$6))/14</f>
        <v>0.764285714285714</v>
      </c>
      <c r="I43" s="2" t="n">
        <f aca="false">1-SUMPRODUCT(ABS(Tekstboek!$AH$7:$AU$7-Gebruikt!$AH$7:$AU$7))/14</f>
        <v>0.764285714285714</v>
      </c>
      <c r="J43" s="2" t="n">
        <f aca="false">1-SUMPRODUCT(ABS(Tekstboek!$AH$7:$AU$7-Gebruikt!$AH$8:$AU$8))/14</f>
        <v>0.728571428571429</v>
      </c>
      <c r="K43" s="2" t="n">
        <f aca="false">1-SUMPRODUCT(ABS(Tekstboek!$AH$7:$AU$7-Gebruikt!$AH$9:$AU$9))/14</f>
        <v>0.65</v>
      </c>
      <c r="L43" s="2" t="n">
        <f aca="false">1-SUMPRODUCT(ABS(Tekstboek!$AH$7:$AU$7-Gebruikt!$AH$10:$AU$10))/14</f>
        <v>0.65</v>
      </c>
      <c r="M43" s="2" t="n">
        <f aca="false">1-SUMPRODUCT(ABS(Tekstboek!$AH$7:$AU$7-Gebruikt!$AH$11:$AU$11))/14</f>
        <v>0.65</v>
      </c>
      <c r="N43" s="2" t="n">
        <f aca="false">1-SUMPRODUCT(ABS(Tekstboek!$AH$7:$AU$7-Gebruikt!$AH$12:$AU$12))/14</f>
        <v>0.757142857142857</v>
      </c>
      <c r="O43" s="2" t="n">
        <f aca="false">1-SUMPRODUCT(ABS(Tekstboek!$AH$7:$AU$7-Gebruikt!$AH$13:$AU$13))/14</f>
        <v>0.492857142857143</v>
      </c>
      <c r="P43" s="2" t="n">
        <f aca="false">1-SUMPRODUCT(ABS(Tekstboek!$AH$7:$AU$7-Gebruikt!$AH$14:$AU$14))/14</f>
        <v>0.721428571428571</v>
      </c>
      <c r="Q43" s="2" t="n">
        <f aca="false">1-SUMPRODUCT(ABS(Tekstboek!$AH$7:$AU$7-Gebruikt!$AH$15:$AU$15))/14</f>
        <v>0.792857142857143</v>
      </c>
      <c r="R43" s="2" t="n">
        <f aca="false">1-SUMPRODUCT(ABS(Tekstboek!$AH$7:$AU$7-Gebruikt!$AH$16:$AU$16))/14</f>
        <v>0.792857142857143</v>
      </c>
      <c r="S43" s="2" t="n">
        <f aca="false">1-SUMPRODUCT(ABS(Tekstboek!$AH$7:$AU$7-Gebruikt!$AH$17:$AU$17))/14</f>
        <v>0.971428571428571</v>
      </c>
      <c r="T43" s="2" t="n">
        <f aca="false">1-SUMPRODUCT(ABS(Tekstboek!$AH$7:$AU$7-Gebruikt!$AH$18:$AU$18))/14</f>
        <v>0.607142857142857</v>
      </c>
      <c r="U43" s="2" t="n">
        <f aca="false">1-SUMPRODUCT(ABS(Tekstboek!$AH$7:$AU$7-Gebruikt!$AH$19:$AU$19))/14</f>
        <v>0.55</v>
      </c>
      <c r="V43" s="2" t="n">
        <f aca="false">1-SUMPRODUCT(ABS(Tekstboek!$AH$7:$AU$7-Gebruikt!$AH$20:$AU$20))/14</f>
        <v>0.65</v>
      </c>
      <c r="W43" s="2" t="n">
        <f aca="false">1-SUMPRODUCT(ABS(Tekstboek!$AH$7:$AU$7-Gebruikt!$AH$21:$AU$21))/14</f>
        <v>0.764285714285714</v>
      </c>
      <c r="X43" s="2" t="n">
        <f aca="false">1-SUMPRODUCT(ABS(Tekstboek!$AH$7:$AU$7-Gebruikt!$AH$22:$AU$22))/14</f>
        <v>0.7</v>
      </c>
      <c r="Y43" s="2" t="n">
        <f aca="false">1-SUMPRODUCT(ABS(Tekstboek!$AH$7:$AU$7-Gebruikt!$AH$23:$AU$23))/14</f>
        <v>0.728571428571429</v>
      </c>
      <c r="Z43" s="2" t="n">
        <f aca="false">1-SUMPRODUCT(ABS(Tekstboek!$AH$7:$AU$7-Gebruikt!$AH$24:$AU$24))/14</f>
        <v>0.728571428571429</v>
      </c>
      <c r="AA43" s="2" t="n">
        <f aca="false">1-SUMPRODUCT(ABS(Tekstboek!$AH$7:$AU$7-Gebruikt!$AH$25:$AU$25))/14</f>
        <v>0.635714285714286</v>
      </c>
      <c r="AB43" s="2" t="n">
        <f aca="false">1-SUMPRODUCT(ABS(Tekstboek!$AH$7:$AU$7-Gebruikt!$AH$26:$AU$26))/14</f>
        <v>0.635714285714286</v>
      </c>
      <c r="AC43" s="2" t="n">
        <f aca="false">1-SUMPRODUCT(ABS(Tekstboek!$AH$7:$AU$7-Gebruikt!$AH$27:$AU$27))/14</f>
        <v>0.564285714285714</v>
      </c>
      <c r="AD43" s="2" t="n">
        <f aca="false">1-SUMPRODUCT(ABS(Tekstboek!$AH$7:$AU$7-Gebruikt!$AH$28:$AU$28))/14</f>
        <v>0.492857142857143</v>
      </c>
      <c r="AE43" s="2" t="n">
        <f aca="false">1-SUMPRODUCT(ABS(Tekstboek!$AH$7:$AU$7-Gebruikt!$AH$29:$AU$29))/14</f>
        <v>0.942857142857143</v>
      </c>
      <c r="AF43" s="2" t="n">
        <f aca="false">1-SUMPRODUCT(ABS(Tekstboek!$AH$7:$AU$7-Gebruikt!$AH$30:$AU$30))/14</f>
        <v>0.914285714285714</v>
      </c>
      <c r="AG43" s="2" t="n">
        <f aca="false">1-SUMPRODUCT(ABS(Tekstboek!$AH$7:$AU$7-Gebruikt!$AH$31:$AU$31))/14</f>
        <v>0.535714285714286</v>
      </c>
      <c r="AH43" s="2" t="n">
        <f aca="false">1-SUMPRODUCT(ABS(Tekstboek!$AH$7:$AU$7-Gebruikt!$AH$32:$AU$32))/14</f>
        <v>0.607142857142857</v>
      </c>
      <c r="AI43" s="2" t="n">
        <f aca="false">1-SUMPRODUCT(ABS(Tekstboek!$AH$7:$AU$7-Gebruikt!$AH$33:$AU$33))/14</f>
        <v>0.8</v>
      </c>
      <c r="AJ43" s="2" t="n">
        <f aca="false">1-SUMPRODUCT(ABS(Tekstboek!$AH$7:$AU$7-Gebruikt!$AH$34:$AU$34))/14</f>
        <v>0.764285714285714</v>
      </c>
      <c r="AK43" s="2" t="n">
        <f aca="false">1-SUMPRODUCT(ABS(Tekstboek!$AH$7:$AU$7-Gebruikt!$AH$35:$AU$35))/14</f>
        <v>0.728571428571429</v>
      </c>
      <c r="AL43" s="2" t="n">
        <f aca="false">1-SUMPRODUCT(ABS(Tekstboek!$AH$7:$AU$7-Gebruikt!$AH$36:$AU$36))/14</f>
        <v>0.535714285714286</v>
      </c>
      <c r="AM43" s="2" t="n">
        <f aca="false">1-SUMPRODUCT(ABS(Tekstboek!$AH$7:$AU$7-Gebruikt!$AH$37:$AU$37))/14</f>
        <v>0.535714285714286</v>
      </c>
      <c r="AN43" s="2" t="n">
        <f aca="false">1-SUMPRODUCT(ABS(Tekstboek!$AH$7:$AU$7-Gebruikt!$AH$38:$AU$38))/14</f>
        <v>0.942857142857143</v>
      </c>
      <c r="AO43" s="2" t="n">
        <f aca="false">1-SUMPRODUCT(ABS(Tekstboek!$AH$7:$AU$7-Gebruikt!$AH$39:$AU$39))/14</f>
        <v>0.55</v>
      </c>
      <c r="AP43" s="2" t="n">
        <f aca="false">1-SUMPRODUCT(ABS(Tekstboek!$AH$7:$AU$7-Gebruikt!$AH$40:$AU$40))/14</f>
        <v>0.65</v>
      </c>
      <c r="AQ43" s="2" t="n">
        <f aca="false">1-SUMPRODUCT(ABS(Tekstboek!$AH$7:$AU$7-Gebruikt!$AH$41:$AU$41))/14</f>
        <v>0.842857142857143</v>
      </c>
      <c r="AR43" s="2" t="n">
        <f aca="false">1-SUMPRODUCT(ABS(Tekstboek!$AH$7:$AU$7-Gebruikt!$AH$42:$AU$42))/14</f>
        <v>0.65</v>
      </c>
      <c r="AS43" s="2" t="n">
        <f aca="false">1-SUMPRODUCT(ABS(Tekstboek!$AH$7:$AU$7-Gebruikt!$AH$43:$AU$43))/14</f>
        <v>0.828571428571429</v>
      </c>
      <c r="AT43" s="2" t="n">
        <f aca="false">1-SUMPRODUCT(ABS(Tekstboek!$AH$7:$AU$7-Gebruikt!$AH$44:$AU$44))/14</f>
        <v>0.828571428571429</v>
      </c>
      <c r="AU43" s="2" t="n">
        <f aca="false">1-SUMPRODUCT(ABS(Tekstboek!$AH$7:$AU$7-Gebruikt!$AH$45:$AU$45))/14</f>
        <v>0.828571428571429</v>
      </c>
      <c r="AV43" s="2" t="n">
        <f aca="false">1-SUMPRODUCT(ABS(Tekstboek!$AH$7:$AU$7-Gebruikt!$AH$46:$AU$46))/14</f>
        <v>0.7</v>
      </c>
      <c r="AW43" s="2" t="n">
        <f aca="false">1-SUMPRODUCT(ABS(Tekstboek!$AH$7:$AU$7-Gebruikt!$AH$47:$AU$47))/14</f>
        <v>0.65</v>
      </c>
      <c r="AX43" s="2" t="n">
        <f aca="false">1-SUMPRODUCT(ABS(Tekstboek!$AH$7:$AU$7-Gebruikt!$AH$48:$AU$48))/14</f>
        <v>0.971428571428571</v>
      </c>
    </row>
    <row r="44" customFormat="false" ht="15" hidden="false" customHeight="false" outlineLevel="0" collapsed="false">
      <c r="A44" s="8" t="str">
        <f aca="false">Tekstboek!A8</f>
        <v>B05</v>
      </c>
      <c r="B44" s="8" t="str">
        <f aca="false">Tekstboek!B8</f>
        <v>[3 qubits] Toffoli (CCX) / CCZ</v>
      </c>
      <c r="C44" s="2" t="n">
        <f aca="false">1-D44</f>
        <v>0.15</v>
      </c>
      <c r="D44" s="2" t="n">
        <f aca="false">MAX(F44:AX44)</f>
        <v>0.85</v>
      </c>
      <c r="E44" s="2" t="str">
        <f aca="false">INDEX(Gebruikt!$B$4:$B$48,MATCH(D44,F44:AX44,0))</f>
        <v>Exact AND cache in idle wires</v>
      </c>
      <c r="F44" s="2" t="n">
        <f aca="false">1-SUMPRODUCT(ABS(Tekstboek!$AH$8:$AU$8-Gebruikt!$AH$4:$AU$4))/14</f>
        <v>0.557142857142857</v>
      </c>
      <c r="G44" s="2" t="n">
        <f aca="false">1-SUMPRODUCT(ABS(Tekstboek!$AH$8:$AU$8-Gebruikt!$AH$5:$AU$5))/14</f>
        <v>0.785714285714286</v>
      </c>
      <c r="H44" s="2" t="n">
        <f aca="false">1-SUMPRODUCT(ABS(Tekstboek!$AH$8:$AU$8-Gebruikt!$AH$6:$AU$6))/14</f>
        <v>0.785714285714286</v>
      </c>
      <c r="I44" s="2" t="n">
        <f aca="false">1-SUMPRODUCT(ABS(Tekstboek!$AH$8:$AU$8-Gebruikt!$AH$7:$AU$7))/14</f>
        <v>0.642857142857143</v>
      </c>
      <c r="J44" s="2" t="n">
        <f aca="false">1-SUMPRODUCT(ABS(Tekstboek!$AH$8:$AU$8-Gebruikt!$AH$8:$AU$8))/14</f>
        <v>0.75</v>
      </c>
      <c r="K44" s="2" t="n">
        <f aca="false">1-SUMPRODUCT(ABS(Tekstboek!$AH$8:$AU$8-Gebruikt!$AH$9:$AU$9))/14</f>
        <v>0.671428571428572</v>
      </c>
      <c r="L44" s="2" t="n">
        <f aca="false">1-SUMPRODUCT(ABS(Tekstboek!$AH$8:$AU$8-Gebruikt!$AH$10:$AU$10))/14</f>
        <v>0.671428571428572</v>
      </c>
      <c r="M44" s="2" t="n">
        <f aca="false">1-SUMPRODUCT(ABS(Tekstboek!$AH$8:$AU$8-Gebruikt!$AH$11:$AU$11))/14</f>
        <v>0.671428571428572</v>
      </c>
      <c r="N44" s="2" t="n">
        <f aca="false">1-SUMPRODUCT(ABS(Tekstboek!$AH$8:$AU$8-Gebruikt!$AH$12:$AU$12))/14</f>
        <v>0.635714285714286</v>
      </c>
      <c r="O44" s="2" t="n">
        <f aca="false">1-SUMPRODUCT(ABS(Tekstboek!$AH$8:$AU$8-Gebruikt!$AH$13:$AU$13))/14</f>
        <v>0.585714285714286</v>
      </c>
      <c r="P44" s="2" t="n">
        <f aca="false">1-SUMPRODUCT(ABS(Tekstboek!$AH$8:$AU$8-Gebruikt!$AH$14:$AU$14))/14</f>
        <v>0.742857142857143</v>
      </c>
      <c r="Q44" s="2" t="n">
        <f aca="false">1-SUMPRODUCT(ABS(Tekstboek!$AH$8:$AU$8-Gebruikt!$AH$15:$AU$15))/14</f>
        <v>0.814285714285714</v>
      </c>
      <c r="R44" s="2" t="n">
        <f aca="false">1-SUMPRODUCT(ABS(Tekstboek!$AH$8:$AU$8-Gebruikt!$AH$16:$AU$16))/14</f>
        <v>0.814285714285714</v>
      </c>
      <c r="S44" s="2" t="n">
        <f aca="false">1-SUMPRODUCT(ABS(Tekstboek!$AH$8:$AU$8-Gebruikt!$AH$17:$AU$17))/14</f>
        <v>0.707142857142857</v>
      </c>
      <c r="T44" s="2" t="n">
        <f aca="false">1-SUMPRODUCT(ABS(Tekstboek!$AH$8:$AU$8-Gebruikt!$AH$18:$AU$18))/14</f>
        <v>0.557142857142857</v>
      </c>
      <c r="U44" s="2" t="n">
        <f aca="false">1-SUMPRODUCT(ABS(Tekstboek!$AH$8:$AU$8-Gebruikt!$AH$19:$AU$19))/14</f>
        <v>0.642857142857143</v>
      </c>
      <c r="V44" s="2" t="n">
        <f aca="false">1-SUMPRODUCT(ABS(Tekstboek!$AH$8:$AU$8-Gebruikt!$AH$20:$AU$20))/14</f>
        <v>0.671428571428572</v>
      </c>
      <c r="W44" s="2" t="n">
        <f aca="false">1-SUMPRODUCT(ABS(Tekstboek!$AH$8:$AU$8-Gebruikt!$AH$21:$AU$21))/14</f>
        <v>0.785714285714286</v>
      </c>
      <c r="X44" s="2" t="n">
        <f aca="false">1-SUMPRODUCT(ABS(Tekstboek!$AH$8:$AU$8-Gebruikt!$AH$22:$AU$22))/14</f>
        <v>0.578571428571429</v>
      </c>
      <c r="Y44" s="2" t="n">
        <f aca="false">1-SUMPRODUCT(ABS(Tekstboek!$AH$8:$AU$8-Gebruikt!$AH$23:$AU$23))/14</f>
        <v>0.75</v>
      </c>
      <c r="Z44" s="2" t="n">
        <f aca="false">1-SUMPRODUCT(ABS(Tekstboek!$AH$8:$AU$8-Gebruikt!$AH$24:$AU$24))/14</f>
        <v>0.75</v>
      </c>
      <c r="AA44" s="2" t="n">
        <f aca="false">1-SUMPRODUCT(ABS(Tekstboek!$AH$8:$AU$8-Gebruikt!$AH$25:$AU$25))/14</f>
        <v>0.728571428571429</v>
      </c>
      <c r="AB44" s="2" t="n">
        <f aca="false">1-SUMPRODUCT(ABS(Tekstboek!$AH$8:$AU$8-Gebruikt!$AH$26:$AU$26))/14</f>
        <v>0.585714285714286</v>
      </c>
      <c r="AC44" s="2" t="n">
        <f aca="false">1-SUMPRODUCT(ABS(Tekstboek!$AH$8:$AU$8-Gebruikt!$AH$27:$AU$27))/14</f>
        <v>0.657142857142857</v>
      </c>
      <c r="AD44" s="2" t="n">
        <f aca="false">1-SUMPRODUCT(ABS(Tekstboek!$AH$8:$AU$8-Gebruikt!$AH$28:$AU$28))/14</f>
        <v>0.585714285714286</v>
      </c>
      <c r="AE44" s="2" t="n">
        <f aca="false">1-SUMPRODUCT(ABS(Tekstboek!$AH$8:$AU$8-Gebruikt!$AH$29:$AU$29))/14</f>
        <v>0.678571428571429</v>
      </c>
      <c r="AF44" s="2" t="n">
        <f aca="false">1-SUMPRODUCT(ABS(Tekstboek!$AH$8:$AU$8-Gebruikt!$AH$30:$AU$30))/14</f>
        <v>0.65</v>
      </c>
      <c r="AG44" s="2" t="n">
        <f aca="false">1-SUMPRODUCT(ABS(Tekstboek!$AH$8:$AU$8-Gebruikt!$AH$31:$AU$31))/14</f>
        <v>0.628571428571429</v>
      </c>
      <c r="AH44" s="2" t="n">
        <f aca="false">1-SUMPRODUCT(ABS(Tekstboek!$AH$8:$AU$8-Gebruikt!$AH$32:$AU$32))/14</f>
        <v>0.557142857142857</v>
      </c>
      <c r="AI44" s="2" t="n">
        <f aca="false">1-SUMPRODUCT(ABS(Tekstboek!$AH$8:$AU$8-Gebruikt!$AH$33:$AU$33))/14</f>
        <v>0.678571428571429</v>
      </c>
      <c r="AJ44" s="2" t="n">
        <f aca="false">1-SUMPRODUCT(ABS(Tekstboek!$AH$8:$AU$8-Gebruikt!$AH$34:$AU$34))/14</f>
        <v>0.785714285714286</v>
      </c>
      <c r="AK44" s="2" t="n">
        <f aca="false">1-SUMPRODUCT(ABS(Tekstboek!$AH$8:$AU$8-Gebruikt!$AH$35:$AU$35))/14</f>
        <v>0.75</v>
      </c>
      <c r="AL44" s="2" t="n">
        <f aca="false">1-SUMPRODUCT(ABS(Tekstboek!$AH$8:$AU$8-Gebruikt!$AH$36:$AU$36))/14</f>
        <v>0.628571428571429</v>
      </c>
      <c r="AM44" s="2" t="n">
        <f aca="false">1-SUMPRODUCT(ABS(Tekstboek!$AH$8:$AU$8-Gebruikt!$AH$37:$AU$37))/14</f>
        <v>0.485714285714286</v>
      </c>
      <c r="AN44" s="2" t="n">
        <f aca="false">1-SUMPRODUCT(ABS(Tekstboek!$AH$8:$AU$8-Gebruikt!$AH$38:$AU$38))/14</f>
        <v>0.678571428571429</v>
      </c>
      <c r="AO44" s="2" t="n">
        <f aca="false">1-SUMPRODUCT(ABS(Tekstboek!$AH$8:$AU$8-Gebruikt!$AH$39:$AU$39))/14</f>
        <v>0.5</v>
      </c>
      <c r="AP44" s="2" t="n">
        <f aca="false">1-SUMPRODUCT(ABS(Tekstboek!$AH$8:$AU$8-Gebruikt!$AH$40:$AU$40))/14</f>
        <v>0.671428571428572</v>
      </c>
      <c r="AQ44" s="2" t="n">
        <f aca="false">1-SUMPRODUCT(ABS(Tekstboek!$AH$8:$AU$8-Gebruikt!$AH$41:$AU$41))/14</f>
        <v>0.721428571428571</v>
      </c>
      <c r="AR44" s="2" t="n">
        <f aca="false">1-SUMPRODUCT(ABS(Tekstboek!$AH$8:$AU$8-Gebruikt!$AH$42:$AU$42))/14</f>
        <v>0.671428571428572</v>
      </c>
      <c r="AS44" s="2" t="n">
        <f aca="false">1-SUMPRODUCT(ABS(Tekstboek!$AH$8:$AU$8-Gebruikt!$AH$43:$AU$43))/14</f>
        <v>0.707142857142857</v>
      </c>
      <c r="AT44" s="2" t="n">
        <f aca="false">1-SUMPRODUCT(ABS(Tekstboek!$AH$8:$AU$8-Gebruikt!$AH$44:$AU$44))/14</f>
        <v>0.85</v>
      </c>
      <c r="AU44" s="2" t="n">
        <f aca="false">1-SUMPRODUCT(ABS(Tekstboek!$AH$8:$AU$8-Gebruikt!$AH$45:$AU$45))/14</f>
        <v>0.707142857142857</v>
      </c>
      <c r="AV44" s="2" t="n">
        <f aca="false">1-SUMPRODUCT(ABS(Tekstboek!$AH$8:$AU$8-Gebruikt!$AH$46:$AU$46))/14</f>
        <v>0.721428571428571</v>
      </c>
      <c r="AW44" s="2" t="n">
        <f aca="false">1-SUMPRODUCT(ABS(Tekstboek!$AH$8:$AU$8-Gebruikt!$AH$47:$AU$47))/14</f>
        <v>0.671428571428572</v>
      </c>
      <c r="AX44" s="2" t="n">
        <f aca="false">1-SUMPRODUCT(ABS(Tekstboek!$AH$8:$AU$8-Gebruikt!$AH$48:$AU$48))/14</f>
        <v>0.707142857142857</v>
      </c>
    </row>
    <row r="45" customFormat="false" ht="15" hidden="false" customHeight="false" outlineLevel="0" collapsed="false">
      <c r="A45" s="8" t="str">
        <f aca="false">Tekstboek!A9</f>
        <v>B06</v>
      </c>
      <c r="B45" s="8" t="str">
        <f aca="false">Tekstboek!B9</f>
        <v>[3 qubits] Fredkin (controlled SWAP)</v>
      </c>
      <c r="C45" s="2" t="n">
        <f aca="false">1-D45</f>
        <v>0.15</v>
      </c>
      <c r="D45" s="2" t="n">
        <f aca="false">MAX(F45:AX45)</f>
        <v>0.85</v>
      </c>
      <c r="E45" s="2" t="str">
        <f aca="false">INDEX(Gebruikt!$B$4:$B$48,MATCH(D45,F45:AX45,0))</f>
        <v>Exact AND cache in idle wires</v>
      </c>
      <c r="F45" s="2" t="n">
        <f aca="false">1-SUMPRODUCT(ABS(Tekstboek!$AH$9:$AU$9-Gebruikt!$AH$4:$AU$4))/14</f>
        <v>0.557142857142857</v>
      </c>
      <c r="G45" s="2" t="n">
        <f aca="false">1-SUMPRODUCT(ABS(Tekstboek!$AH$9:$AU$9-Gebruikt!$AH$5:$AU$5))/14</f>
        <v>0.785714285714286</v>
      </c>
      <c r="H45" s="2" t="n">
        <f aca="false">1-SUMPRODUCT(ABS(Tekstboek!$AH$9:$AU$9-Gebruikt!$AH$6:$AU$6))/14</f>
        <v>0.785714285714286</v>
      </c>
      <c r="I45" s="2" t="n">
        <f aca="false">1-SUMPRODUCT(ABS(Tekstboek!$AH$9:$AU$9-Gebruikt!$AH$7:$AU$7))/14</f>
        <v>0.642857142857143</v>
      </c>
      <c r="J45" s="2" t="n">
        <f aca="false">1-SUMPRODUCT(ABS(Tekstboek!$AH$9:$AU$9-Gebruikt!$AH$8:$AU$8))/14</f>
        <v>0.75</v>
      </c>
      <c r="K45" s="2" t="n">
        <f aca="false">1-SUMPRODUCT(ABS(Tekstboek!$AH$9:$AU$9-Gebruikt!$AH$9:$AU$9))/14</f>
        <v>0.671428571428572</v>
      </c>
      <c r="L45" s="2" t="n">
        <f aca="false">1-SUMPRODUCT(ABS(Tekstboek!$AH$9:$AU$9-Gebruikt!$AH$10:$AU$10))/14</f>
        <v>0.671428571428572</v>
      </c>
      <c r="M45" s="2" t="n">
        <f aca="false">1-SUMPRODUCT(ABS(Tekstboek!$AH$9:$AU$9-Gebruikt!$AH$11:$AU$11))/14</f>
        <v>0.671428571428572</v>
      </c>
      <c r="N45" s="2" t="n">
        <f aca="false">1-SUMPRODUCT(ABS(Tekstboek!$AH$9:$AU$9-Gebruikt!$AH$12:$AU$12))/14</f>
        <v>0.635714285714286</v>
      </c>
      <c r="O45" s="2" t="n">
        <f aca="false">1-SUMPRODUCT(ABS(Tekstboek!$AH$9:$AU$9-Gebruikt!$AH$13:$AU$13))/14</f>
        <v>0.585714285714286</v>
      </c>
      <c r="P45" s="2" t="n">
        <f aca="false">1-SUMPRODUCT(ABS(Tekstboek!$AH$9:$AU$9-Gebruikt!$AH$14:$AU$14))/14</f>
        <v>0.742857142857143</v>
      </c>
      <c r="Q45" s="2" t="n">
        <f aca="false">1-SUMPRODUCT(ABS(Tekstboek!$AH$9:$AU$9-Gebruikt!$AH$15:$AU$15))/14</f>
        <v>0.814285714285714</v>
      </c>
      <c r="R45" s="2" t="n">
        <f aca="false">1-SUMPRODUCT(ABS(Tekstboek!$AH$9:$AU$9-Gebruikt!$AH$16:$AU$16))/14</f>
        <v>0.814285714285714</v>
      </c>
      <c r="S45" s="2" t="n">
        <f aca="false">1-SUMPRODUCT(ABS(Tekstboek!$AH$9:$AU$9-Gebruikt!$AH$17:$AU$17))/14</f>
        <v>0.707142857142857</v>
      </c>
      <c r="T45" s="2" t="n">
        <f aca="false">1-SUMPRODUCT(ABS(Tekstboek!$AH$9:$AU$9-Gebruikt!$AH$18:$AU$18))/14</f>
        <v>0.557142857142857</v>
      </c>
      <c r="U45" s="2" t="n">
        <f aca="false">1-SUMPRODUCT(ABS(Tekstboek!$AH$9:$AU$9-Gebruikt!$AH$19:$AU$19))/14</f>
        <v>0.642857142857143</v>
      </c>
      <c r="V45" s="2" t="n">
        <f aca="false">1-SUMPRODUCT(ABS(Tekstboek!$AH$9:$AU$9-Gebruikt!$AH$20:$AU$20))/14</f>
        <v>0.671428571428572</v>
      </c>
      <c r="W45" s="2" t="n">
        <f aca="false">1-SUMPRODUCT(ABS(Tekstboek!$AH$9:$AU$9-Gebruikt!$AH$21:$AU$21))/14</f>
        <v>0.785714285714286</v>
      </c>
      <c r="X45" s="2" t="n">
        <f aca="false">1-SUMPRODUCT(ABS(Tekstboek!$AH$9:$AU$9-Gebruikt!$AH$22:$AU$22))/14</f>
        <v>0.578571428571429</v>
      </c>
      <c r="Y45" s="2" t="n">
        <f aca="false">1-SUMPRODUCT(ABS(Tekstboek!$AH$9:$AU$9-Gebruikt!$AH$23:$AU$23))/14</f>
        <v>0.75</v>
      </c>
      <c r="Z45" s="2" t="n">
        <f aca="false">1-SUMPRODUCT(ABS(Tekstboek!$AH$9:$AU$9-Gebruikt!$AH$24:$AU$24))/14</f>
        <v>0.75</v>
      </c>
      <c r="AA45" s="2" t="n">
        <f aca="false">1-SUMPRODUCT(ABS(Tekstboek!$AH$9:$AU$9-Gebruikt!$AH$25:$AU$25))/14</f>
        <v>0.728571428571429</v>
      </c>
      <c r="AB45" s="2" t="n">
        <f aca="false">1-SUMPRODUCT(ABS(Tekstboek!$AH$9:$AU$9-Gebruikt!$AH$26:$AU$26))/14</f>
        <v>0.585714285714286</v>
      </c>
      <c r="AC45" s="2" t="n">
        <f aca="false">1-SUMPRODUCT(ABS(Tekstboek!$AH$9:$AU$9-Gebruikt!$AH$27:$AU$27))/14</f>
        <v>0.657142857142857</v>
      </c>
      <c r="AD45" s="2" t="n">
        <f aca="false">1-SUMPRODUCT(ABS(Tekstboek!$AH$9:$AU$9-Gebruikt!$AH$28:$AU$28))/14</f>
        <v>0.585714285714286</v>
      </c>
      <c r="AE45" s="2" t="n">
        <f aca="false">1-SUMPRODUCT(ABS(Tekstboek!$AH$9:$AU$9-Gebruikt!$AH$29:$AU$29))/14</f>
        <v>0.678571428571429</v>
      </c>
      <c r="AF45" s="2" t="n">
        <f aca="false">1-SUMPRODUCT(ABS(Tekstboek!$AH$9:$AU$9-Gebruikt!$AH$30:$AU$30))/14</f>
        <v>0.65</v>
      </c>
      <c r="AG45" s="2" t="n">
        <f aca="false">1-SUMPRODUCT(ABS(Tekstboek!$AH$9:$AU$9-Gebruikt!$AH$31:$AU$31))/14</f>
        <v>0.628571428571429</v>
      </c>
      <c r="AH45" s="2" t="n">
        <f aca="false">1-SUMPRODUCT(ABS(Tekstboek!$AH$9:$AU$9-Gebruikt!$AH$32:$AU$32))/14</f>
        <v>0.557142857142857</v>
      </c>
      <c r="AI45" s="2" t="n">
        <f aca="false">1-SUMPRODUCT(ABS(Tekstboek!$AH$9:$AU$9-Gebruikt!$AH$33:$AU$33))/14</f>
        <v>0.678571428571429</v>
      </c>
      <c r="AJ45" s="2" t="n">
        <f aca="false">1-SUMPRODUCT(ABS(Tekstboek!$AH$9:$AU$9-Gebruikt!$AH$34:$AU$34))/14</f>
        <v>0.785714285714286</v>
      </c>
      <c r="AK45" s="2" t="n">
        <f aca="false">1-SUMPRODUCT(ABS(Tekstboek!$AH$9:$AU$9-Gebruikt!$AH$35:$AU$35))/14</f>
        <v>0.75</v>
      </c>
      <c r="AL45" s="2" t="n">
        <f aca="false">1-SUMPRODUCT(ABS(Tekstboek!$AH$9:$AU$9-Gebruikt!$AH$36:$AU$36))/14</f>
        <v>0.628571428571429</v>
      </c>
      <c r="AM45" s="2" t="n">
        <f aca="false">1-SUMPRODUCT(ABS(Tekstboek!$AH$9:$AU$9-Gebruikt!$AH$37:$AU$37))/14</f>
        <v>0.485714285714286</v>
      </c>
      <c r="AN45" s="2" t="n">
        <f aca="false">1-SUMPRODUCT(ABS(Tekstboek!$AH$9:$AU$9-Gebruikt!$AH$38:$AU$38))/14</f>
        <v>0.678571428571429</v>
      </c>
      <c r="AO45" s="2" t="n">
        <f aca="false">1-SUMPRODUCT(ABS(Tekstboek!$AH$9:$AU$9-Gebruikt!$AH$39:$AU$39))/14</f>
        <v>0.5</v>
      </c>
      <c r="AP45" s="2" t="n">
        <f aca="false">1-SUMPRODUCT(ABS(Tekstboek!$AH$9:$AU$9-Gebruikt!$AH$40:$AU$40))/14</f>
        <v>0.671428571428572</v>
      </c>
      <c r="AQ45" s="2" t="n">
        <f aca="false">1-SUMPRODUCT(ABS(Tekstboek!$AH$9:$AU$9-Gebruikt!$AH$41:$AU$41))/14</f>
        <v>0.721428571428571</v>
      </c>
      <c r="AR45" s="2" t="n">
        <f aca="false">1-SUMPRODUCT(ABS(Tekstboek!$AH$9:$AU$9-Gebruikt!$AH$42:$AU$42))/14</f>
        <v>0.671428571428572</v>
      </c>
      <c r="AS45" s="2" t="n">
        <f aca="false">1-SUMPRODUCT(ABS(Tekstboek!$AH$9:$AU$9-Gebruikt!$AH$43:$AU$43))/14</f>
        <v>0.707142857142857</v>
      </c>
      <c r="AT45" s="2" t="n">
        <f aca="false">1-SUMPRODUCT(ABS(Tekstboek!$AH$9:$AU$9-Gebruikt!$AH$44:$AU$44))/14</f>
        <v>0.85</v>
      </c>
      <c r="AU45" s="2" t="n">
        <f aca="false">1-SUMPRODUCT(ABS(Tekstboek!$AH$9:$AU$9-Gebruikt!$AH$45:$AU$45))/14</f>
        <v>0.707142857142857</v>
      </c>
      <c r="AV45" s="2" t="n">
        <f aca="false">1-SUMPRODUCT(ABS(Tekstboek!$AH$9:$AU$9-Gebruikt!$AH$46:$AU$46))/14</f>
        <v>0.721428571428571</v>
      </c>
      <c r="AW45" s="2" t="n">
        <f aca="false">1-SUMPRODUCT(ABS(Tekstboek!$AH$9:$AU$9-Gebruikt!$AH$47:$AU$47))/14</f>
        <v>0.671428571428572</v>
      </c>
      <c r="AX45" s="2" t="n">
        <f aca="false">1-SUMPRODUCT(ABS(Tekstboek!$AH$9:$AU$9-Gebruikt!$AH$48:$AU$48))/14</f>
        <v>0.707142857142857</v>
      </c>
    </row>
    <row r="46" customFormat="false" ht="15" hidden="false" customHeight="false" outlineLevel="0" collapsed="false">
      <c r="A46" s="8" t="str">
        <f aca="false">Tekstboek!A10</f>
        <v>B07</v>
      </c>
      <c r="B46" s="8" t="str">
        <f aca="false">Tekstboek!B10</f>
        <v>[3 qubits] Peres gate (Toffoli + CNOT)</v>
      </c>
      <c r="C46" s="2" t="n">
        <f aca="false">1-D46</f>
        <v>0.15</v>
      </c>
      <c r="D46" s="2" t="n">
        <f aca="false">MAX(F46:AX46)</f>
        <v>0.85</v>
      </c>
      <c r="E46" s="2" t="str">
        <f aca="false">INDEX(Gebruikt!$B$4:$B$48,MATCH(D46,F46:AX46,0))</f>
        <v>Exact AND cache in idle wires</v>
      </c>
      <c r="F46" s="2" t="n">
        <f aca="false">1-SUMPRODUCT(ABS(Tekstboek!$AH$10:$AU$10-Gebruikt!$AH$4:$AU$4))/14</f>
        <v>0.557142857142857</v>
      </c>
      <c r="G46" s="2" t="n">
        <f aca="false">1-SUMPRODUCT(ABS(Tekstboek!$AH$10:$AU$10-Gebruikt!$AH$5:$AU$5))/14</f>
        <v>0.785714285714286</v>
      </c>
      <c r="H46" s="2" t="n">
        <f aca="false">1-SUMPRODUCT(ABS(Tekstboek!$AH$10:$AU$10-Gebruikt!$AH$6:$AU$6))/14</f>
        <v>0.785714285714286</v>
      </c>
      <c r="I46" s="2" t="n">
        <f aca="false">1-SUMPRODUCT(ABS(Tekstboek!$AH$10:$AU$10-Gebruikt!$AH$7:$AU$7))/14</f>
        <v>0.642857142857143</v>
      </c>
      <c r="J46" s="2" t="n">
        <f aca="false">1-SUMPRODUCT(ABS(Tekstboek!$AH$10:$AU$10-Gebruikt!$AH$8:$AU$8))/14</f>
        <v>0.75</v>
      </c>
      <c r="K46" s="2" t="n">
        <f aca="false">1-SUMPRODUCT(ABS(Tekstboek!$AH$10:$AU$10-Gebruikt!$AH$9:$AU$9))/14</f>
        <v>0.671428571428572</v>
      </c>
      <c r="L46" s="2" t="n">
        <f aca="false">1-SUMPRODUCT(ABS(Tekstboek!$AH$10:$AU$10-Gebruikt!$AH$10:$AU$10))/14</f>
        <v>0.671428571428572</v>
      </c>
      <c r="M46" s="2" t="n">
        <f aca="false">1-SUMPRODUCT(ABS(Tekstboek!$AH$10:$AU$10-Gebruikt!$AH$11:$AU$11))/14</f>
        <v>0.671428571428572</v>
      </c>
      <c r="N46" s="2" t="n">
        <f aca="false">1-SUMPRODUCT(ABS(Tekstboek!$AH$10:$AU$10-Gebruikt!$AH$12:$AU$12))/14</f>
        <v>0.635714285714286</v>
      </c>
      <c r="O46" s="2" t="n">
        <f aca="false">1-SUMPRODUCT(ABS(Tekstboek!$AH$10:$AU$10-Gebruikt!$AH$13:$AU$13))/14</f>
        <v>0.585714285714286</v>
      </c>
      <c r="P46" s="2" t="n">
        <f aca="false">1-SUMPRODUCT(ABS(Tekstboek!$AH$10:$AU$10-Gebruikt!$AH$14:$AU$14))/14</f>
        <v>0.742857142857143</v>
      </c>
      <c r="Q46" s="2" t="n">
        <f aca="false">1-SUMPRODUCT(ABS(Tekstboek!$AH$10:$AU$10-Gebruikt!$AH$15:$AU$15))/14</f>
        <v>0.814285714285714</v>
      </c>
      <c r="R46" s="2" t="n">
        <f aca="false">1-SUMPRODUCT(ABS(Tekstboek!$AH$10:$AU$10-Gebruikt!$AH$16:$AU$16))/14</f>
        <v>0.814285714285714</v>
      </c>
      <c r="S46" s="2" t="n">
        <f aca="false">1-SUMPRODUCT(ABS(Tekstboek!$AH$10:$AU$10-Gebruikt!$AH$17:$AU$17))/14</f>
        <v>0.707142857142857</v>
      </c>
      <c r="T46" s="2" t="n">
        <f aca="false">1-SUMPRODUCT(ABS(Tekstboek!$AH$10:$AU$10-Gebruikt!$AH$18:$AU$18))/14</f>
        <v>0.557142857142857</v>
      </c>
      <c r="U46" s="2" t="n">
        <f aca="false">1-SUMPRODUCT(ABS(Tekstboek!$AH$10:$AU$10-Gebruikt!$AH$19:$AU$19))/14</f>
        <v>0.642857142857143</v>
      </c>
      <c r="V46" s="2" t="n">
        <f aca="false">1-SUMPRODUCT(ABS(Tekstboek!$AH$10:$AU$10-Gebruikt!$AH$20:$AU$20))/14</f>
        <v>0.671428571428572</v>
      </c>
      <c r="W46" s="2" t="n">
        <f aca="false">1-SUMPRODUCT(ABS(Tekstboek!$AH$10:$AU$10-Gebruikt!$AH$21:$AU$21))/14</f>
        <v>0.785714285714286</v>
      </c>
      <c r="X46" s="2" t="n">
        <f aca="false">1-SUMPRODUCT(ABS(Tekstboek!$AH$10:$AU$10-Gebruikt!$AH$22:$AU$22))/14</f>
        <v>0.578571428571429</v>
      </c>
      <c r="Y46" s="2" t="n">
        <f aca="false">1-SUMPRODUCT(ABS(Tekstboek!$AH$10:$AU$10-Gebruikt!$AH$23:$AU$23))/14</f>
        <v>0.75</v>
      </c>
      <c r="Z46" s="2" t="n">
        <f aca="false">1-SUMPRODUCT(ABS(Tekstboek!$AH$10:$AU$10-Gebruikt!$AH$24:$AU$24))/14</f>
        <v>0.75</v>
      </c>
      <c r="AA46" s="2" t="n">
        <f aca="false">1-SUMPRODUCT(ABS(Tekstboek!$AH$10:$AU$10-Gebruikt!$AH$25:$AU$25))/14</f>
        <v>0.728571428571429</v>
      </c>
      <c r="AB46" s="2" t="n">
        <f aca="false">1-SUMPRODUCT(ABS(Tekstboek!$AH$10:$AU$10-Gebruikt!$AH$26:$AU$26))/14</f>
        <v>0.585714285714286</v>
      </c>
      <c r="AC46" s="2" t="n">
        <f aca="false">1-SUMPRODUCT(ABS(Tekstboek!$AH$10:$AU$10-Gebruikt!$AH$27:$AU$27))/14</f>
        <v>0.657142857142857</v>
      </c>
      <c r="AD46" s="2" t="n">
        <f aca="false">1-SUMPRODUCT(ABS(Tekstboek!$AH$10:$AU$10-Gebruikt!$AH$28:$AU$28))/14</f>
        <v>0.585714285714286</v>
      </c>
      <c r="AE46" s="2" t="n">
        <f aca="false">1-SUMPRODUCT(ABS(Tekstboek!$AH$10:$AU$10-Gebruikt!$AH$29:$AU$29))/14</f>
        <v>0.678571428571429</v>
      </c>
      <c r="AF46" s="2" t="n">
        <f aca="false">1-SUMPRODUCT(ABS(Tekstboek!$AH$10:$AU$10-Gebruikt!$AH$30:$AU$30))/14</f>
        <v>0.65</v>
      </c>
      <c r="AG46" s="2" t="n">
        <f aca="false">1-SUMPRODUCT(ABS(Tekstboek!$AH$10:$AU$10-Gebruikt!$AH$31:$AU$31))/14</f>
        <v>0.628571428571429</v>
      </c>
      <c r="AH46" s="2" t="n">
        <f aca="false">1-SUMPRODUCT(ABS(Tekstboek!$AH$10:$AU$10-Gebruikt!$AH$32:$AU$32))/14</f>
        <v>0.557142857142857</v>
      </c>
      <c r="AI46" s="2" t="n">
        <f aca="false">1-SUMPRODUCT(ABS(Tekstboek!$AH$10:$AU$10-Gebruikt!$AH$33:$AU$33))/14</f>
        <v>0.678571428571429</v>
      </c>
      <c r="AJ46" s="2" t="n">
        <f aca="false">1-SUMPRODUCT(ABS(Tekstboek!$AH$10:$AU$10-Gebruikt!$AH$34:$AU$34))/14</f>
        <v>0.785714285714286</v>
      </c>
      <c r="AK46" s="2" t="n">
        <f aca="false">1-SUMPRODUCT(ABS(Tekstboek!$AH$10:$AU$10-Gebruikt!$AH$35:$AU$35))/14</f>
        <v>0.75</v>
      </c>
      <c r="AL46" s="2" t="n">
        <f aca="false">1-SUMPRODUCT(ABS(Tekstboek!$AH$10:$AU$10-Gebruikt!$AH$36:$AU$36))/14</f>
        <v>0.628571428571429</v>
      </c>
      <c r="AM46" s="2" t="n">
        <f aca="false">1-SUMPRODUCT(ABS(Tekstboek!$AH$10:$AU$10-Gebruikt!$AH$37:$AU$37))/14</f>
        <v>0.485714285714286</v>
      </c>
      <c r="AN46" s="2" t="n">
        <f aca="false">1-SUMPRODUCT(ABS(Tekstboek!$AH$10:$AU$10-Gebruikt!$AH$38:$AU$38))/14</f>
        <v>0.678571428571429</v>
      </c>
      <c r="AO46" s="2" t="n">
        <f aca="false">1-SUMPRODUCT(ABS(Tekstboek!$AH$10:$AU$10-Gebruikt!$AH$39:$AU$39))/14</f>
        <v>0.5</v>
      </c>
      <c r="AP46" s="2" t="n">
        <f aca="false">1-SUMPRODUCT(ABS(Tekstboek!$AH$10:$AU$10-Gebruikt!$AH$40:$AU$40))/14</f>
        <v>0.671428571428572</v>
      </c>
      <c r="AQ46" s="2" t="n">
        <f aca="false">1-SUMPRODUCT(ABS(Tekstboek!$AH$10:$AU$10-Gebruikt!$AH$41:$AU$41))/14</f>
        <v>0.721428571428571</v>
      </c>
      <c r="AR46" s="2" t="n">
        <f aca="false">1-SUMPRODUCT(ABS(Tekstboek!$AH$10:$AU$10-Gebruikt!$AH$42:$AU$42))/14</f>
        <v>0.671428571428572</v>
      </c>
      <c r="AS46" s="2" t="n">
        <f aca="false">1-SUMPRODUCT(ABS(Tekstboek!$AH$10:$AU$10-Gebruikt!$AH$43:$AU$43))/14</f>
        <v>0.707142857142857</v>
      </c>
      <c r="AT46" s="2" t="n">
        <f aca="false">1-SUMPRODUCT(ABS(Tekstboek!$AH$10:$AU$10-Gebruikt!$AH$44:$AU$44))/14</f>
        <v>0.85</v>
      </c>
      <c r="AU46" s="2" t="n">
        <f aca="false">1-SUMPRODUCT(ABS(Tekstboek!$AH$10:$AU$10-Gebruikt!$AH$45:$AU$45))/14</f>
        <v>0.707142857142857</v>
      </c>
      <c r="AV46" s="2" t="n">
        <f aca="false">1-SUMPRODUCT(ABS(Tekstboek!$AH$10:$AU$10-Gebruikt!$AH$46:$AU$46))/14</f>
        <v>0.721428571428571</v>
      </c>
      <c r="AW46" s="2" t="n">
        <f aca="false">1-SUMPRODUCT(ABS(Tekstboek!$AH$10:$AU$10-Gebruikt!$AH$47:$AU$47))/14</f>
        <v>0.671428571428572</v>
      </c>
      <c r="AX46" s="2" t="n">
        <f aca="false">1-SUMPRODUCT(ABS(Tekstboek!$AH$10:$AU$10-Gebruikt!$AH$48:$AU$48))/14</f>
        <v>0.707142857142857</v>
      </c>
    </row>
    <row r="47" customFormat="false" ht="15" hidden="false" customHeight="false" outlineLevel="0" collapsed="false">
      <c r="A47" s="8" t="str">
        <f aca="false">Tekstboek!A11</f>
        <v>B08</v>
      </c>
      <c r="B47" s="8" t="str">
        <f aca="false">Tekstboek!B11</f>
        <v>[3 qubits] Temporary logical-AND (measurement uncompute)</v>
      </c>
      <c r="C47" s="2" t="n">
        <f aca="false">1-D47</f>
        <v>0.228571428571429</v>
      </c>
      <c r="D47" s="2" t="n">
        <f aca="false">MAX(F47:AX47)</f>
        <v>0.771428571428571</v>
      </c>
      <c r="E47" s="2" t="str">
        <f aca="false">INDEX(Gebruikt!$B$4:$B$48,MATCH(D47,F47:AX47,0))</f>
        <v>Chunked/windowed adders with measured boundary-carry erasure</v>
      </c>
      <c r="F47" s="2" t="n">
        <f aca="false">1-SUMPRODUCT(ABS(Tekstboek!$AH$11:$AU$11-Gebruikt!$AH$4:$AU$4))/14</f>
        <v>0.678571428571429</v>
      </c>
      <c r="G47" s="2" t="n">
        <f aca="false">1-SUMPRODUCT(ABS(Tekstboek!$AH$11:$AU$11-Gebruikt!$AH$5:$AU$5))/14</f>
        <v>0.55</v>
      </c>
      <c r="H47" s="2" t="n">
        <f aca="false">1-SUMPRODUCT(ABS(Tekstboek!$AH$11:$AU$11-Gebruikt!$AH$6:$AU$6))/14</f>
        <v>0.55</v>
      </c>
      <c r="I47" s="2" t="n">
        <f aca="false">1-SUMPRODUCT(ABS(Tekstboek!$AH$11:$AU$11-Gebruikt!$AH$7:$AU$7))/14</f>
        <v>0.621428571428571</v>
      </c>
      <c r="J47" s="2" t="n">
        <f aca="false">1-SUMPRODUCT(ABS(Tekstboek!$AH$11:$AU$11-Gebruikt!$AH$8:$AU$8))/14</f>
        <v>0.585714285714286</v>
      </c>
      <c r="K47" s="2" t="n">
        <f aca="false">1-SUMPRODUCT(ABS(Tekstboek!$AH$11:$AU$11-Gebruikt!$AH$9:$AU$9))/14</f>
        <v>0.435714285714286</v>
      </c>
      <c r="L47" s="2" t="n">
        <f aca="false">1-SUMPRODUCT(ABS(Tekstboek!$AH$11:$AU$11-Gebruikt!$AH$10:$AU$10))/14</f>
        <v>0.435714285714286</v>
      </c>
      <c r="M47" s="2" t="n">
        <f aca="false">1-SUMPRODUCT(ABS(Tekstboek!$AH$11:$AU$11-Gebruikt!$AH$11:$AU$11))/14</f>
        <v>0.435714285714286</v>
      </c>
      <c r="N47" s="2" t="n">
        <f aca="false">1-SUMPRODUCT(ABS(Tekstboek!$AH$11:$AU$11-Gebruikt!$AH$12:$AU$12))/14</f>
        <v>0.542857142857143</v>
      </c>
      <c r="O47" s="2" t="n">
        <f aca="false">1-SUMPRODUCT(ABS(Tekstboek!$AH$11:$AU$11-Gebruikt!$AH$13:$AU$13))/14</f>
        <v>0.564285714285714</v>
      </c>
      <c r="P47" s="2" t="n">
        <f aca="false">1-SUMPRODUCT(ABS(Tekstboek!$AH$11:$AU$11-Gebruikt!$AH$14:$AU$14))/14</f>
        <v>0.507142857142857</v>
      </c>
      <c r="Q47" s="2" t="n">
        <f aca="false">1-SUMPRODUCT(ABS(Tekstboek!$AH$11:$AU$11-Gebruikt!$AH$15:$AU$15))/14</f>
        <v>0.578571428571429</v>
      </c>
      <c r="R47" s="2" t="n">
        <f aca="false">1-SUMPRODUCT(ABS(Tekstboek!$AH$11:$AU$11-Gebruikt!$AH$16:$AU$16))/14</f>
        <v>0.578571428571429</v>
      </c>
      <c r="S47" s="2" t="n">
        <f aca="false">1-SUMPRODUCT(ABS(Tekstboek!$AH$11:$AU$11-Gebruikt!$AH$17:$AU$17))/14</f>
        <v>0.757142857142857</v>
      </c>
      <c r="T47" s="2" t="n">
        <f aca="false">1-SUMPRODUCT(ABS(Tekstboek!$AH$11:$AU$11-Gebruikt!$AH$18:$AU$18))/14</f>
        <v>0.678571428571429</v>
      </c>
      <c r="U47" s="2" t="n">
        <f aca="false">1-SUMPRODUCT(ABS(Tekstboek!$AH$11:$AU$11-Gebruikt!$AH$19:$AU$19))/14</f>
        <v>0.621428571428571</v>
      </c>
      <c r="V47" s="2" t="n">
        <f aca="false">1-SUMPRODUCT(ABS(Tekstboek!$AH$11:$AU$11-Gebruikt!$AH$20:$AU$20))/14</f>
        <v>0.435714285714286</v>
      </c>
      <c r="W47" s="2" t="n">
        <f aca="false">1-SUMPRODUCT(ABS(Tekstboek!$AH$11:$AU$11-Gebruikt!$AH$21:$AU$21))/14</f>
        <v>0.55</v>
      </c>
      <c r="X47" s="2" t="n">
        <f aca="false">1-SUMPRODUCT(ABS(Tekstboek!$AH$11:$AU$11-Gebruikt!$AH$22:$AU$22))/14</f>
        <v>0.771428571428571</v>
      </c>
      <c r="Y47" s="2" t="n">
        <f aca="false">1-SUMPRODUCT(ABS(Tekstboek!$AH$11:$AU$11-Gebruikt!$AH$23:$AU$23))/14</f>
        <v>0.585714285714286</v>
      </c>
      <c r="Z47" s="2" t="n">
        <f aca="false">1-SUMPRODUCT(ABS(Tekstboek!$AH$11:$AU$11-Gebruikt!$AH$24:$AU$24))/14</f>
        <v>0.585714285714286</v>
      </c>
      <c r="AA47" s="2" t="n">
        <f aca="false">1-SUMPRODUCT(ABS(Tekstboek!$AH$11:$AU$11-Gebruikt!$AH$25:$AU$25))/14</f>
        <v>0.707142857142857</v>
      </c>
      <c r="AB47" s="2" t="n">
        <f aca="false">1-SUMPRODUCT(ABS(Tekstboek!$AH$11:$AU$11-Gebruikt!$AH$26:$AU$26))/14</f>
        <v>0.707142857142857</v>
      </c>
      <c r="AC47" s="2" t="n">
        <f aca="false">1-SUMPRODUCT(ABS(Tekstboek!$AH$11:$AU$11-Gebruikt!$AH$27:$AU$27))/14</f>
        <v>0.635714285714286</v>
      </c>
      <c r="AD47" s="2" t="n">
        <f aca="false">1-SUMPRODUCT(ABS(Tekstboek!$AH$11:$AU$11-Gebruikt!$AH$28:$AU$28))/14</f>
        <v>0.564285714285714</v>
      </c>
      <c r="AE47" s="2" t="n">
        <f aca="false">1-SUMPRODUCT(ABS(Tekstboek!$AH$11:$AU$11-Gebruikt!$AH$29:$AU$29))/14</f>
        <v>0.728571428571429</v>
      </c>
      <c r="AF47" s="2" t="n">
        <f aca="false">1-SUMPRODUCT(ABS(Tekstboek!$AH$11:$AU$11-Gebruikt!$AH$30:$AU$30))/14</f>
        <v>0.7</v>
      </c>
      <c r="AG47" s="2" t="n">
        <f aca="false">1-SUMPRODUCT(ABS(Tekstboek!$AH$11:$AU$11-Gebruikt!$AH$31:$AU$31))/14</f>
        <v>0.607142857142857</v>
      </c>
      <c r="AH47" s="2" t="n">
        <f aca="false">1-SUMPRODUCT(ABS(Tekstboek!$AH$11:$AU$11-Gebruikt!$AH$32:$AU$32))/14</f>
        <v>0.678571428571429</v>
      </c>
      <c r="AI47" s="2" t="n">
        <f aca="false">1-SUMPRODUCT(ABS(Tekstboek!$AH$11:$AU$11-Gebruikt!$AH$33:$AU$33))/14</f>
        <v>0.585714285714286</v>
      </c>
      <c r="AJ47" s="2" t="n">
        <f aca="false">1-SUMPRODUCT(ABS(Tekstboek!$AH$11:$AU$11-Gebruikt!$AH$34:$AU$34))/14</f>
        <v>0.55</v>
      </c>
      <c r="AK47" s="2" t="n">
        <f aca="false">1-SUMPRODUCT(ABS(Tekstboek!$AH$11:$AU$11-Gebruikt!$AH$35:$AU$35))/14</f>
        <v>0.585714285714286</v>
      </c>
      <c r="AL47" s="2" t="n">
        <f aca="false">1-SUMPRODUCT(ABS(Tekstboek!$AH$11:$AU$11-Gebruikt!$AH$36:$AU$36))/14</f>
        <v>0.607142857142857</v>
      </c>
      <c r="AM47" s="2" t="n">
        <f aca="false">1-SUMPRODUCT(ABS(Tekstboek!$AH$11:$AU$11-Gebruikt!$AH$37:$AU$37))/14</f>
        <v>0.607142857142857</v>
      </c>
      <c r="AN47" s="2" t="n">
        <f aca="false">1-SUMPRODUCT(ABS(Tekstboek!$AH$11:$AU$11-Gebruikt!$AH$38:$AU$38))/14</f>
        <v>0.728571428571429</v>
      </c>
      <c r="AO47" s="2" t="n">
        <f aca="false">1-SUMPRODUCT(ABS(Tekstboek!$AH$11:$AU$11-Gebruikt!$AH$39:$AU$39))/14</f>
        <v>0.621428571428571</v>
      </c>
      <c r="AP47" s="2" t="n">
        <f aca="false">1-SUMPRODUCT(ABS(Tekstboek!$AH$11:$AU$11-Gebruikt!$AH$40:$AU$40))/14</f>
        <v>0.435714285714286</v>
      </c>
      <c r="AQ47" s="2" t="n">
        <f aca="false">1-SUMPRODUCT(ABS(Tekstboek!$AH$11:$AU$11-Gebruikt!$AH$41:$AU$41))/14</f>
        <v>0.628571428571429</v>
      </c>
      <c r="AR47" s="2" t="n">
        <f aca="false">1-SUMPRODUCT(ABS(Tekstboek!$AH$11:$AU$11-Gebruikt!$AH$42:$AU$42))/14</f>
        <v>0.435714285714286</v>
      </c>
      <c r="AS47" s="2" t="n">
        <f aca="false">1-SUMPRODUCT(ABS(Tekstboek!$AH$11:$AU$11-Gebruikt!$AH$43:$AU$43))/14</f>
        <v>0.614285714285714</v>
      </c>
      <c r="AT47" s="2" t="n">
        <f aca="false">1-SUMPRODUCT(ABS(Tekstboek!$AH$11:$AU$11-Gebruikt!$AH$44:$AU$44))/14</f>
        <v>0.614285714285714</v>
      </c>
      <c r="AU47" s="2" t="n">
        <f aca="false">1-SUMPRODUCT(ABS(Tekstboek!$AH$11:$AU$11-Gebruikt!$AH$45:$AU$45))/14</f>
        <v>0.614285714285714</v>
      </c>
      <c r="AV47" s="2" t="n">
        <f aca="false">1-SUMPRODUCT(ABS(Tekstboek!$AH$11:$AU$11-Gebruikt!$AH$46:$AU$46))/14</f>
        <v>0.771428571428571</v>
      </c>
      <c r="AW47" s="2" t="n">
        <f aca="false">1-SUMPRODUCT(ABS(Tekstboek!$AH$11:$AU$11-Gebruikt!$AH$47:$AU$47))/14</f>
        <v>0.435714285714286</v>
      </c>
      <c r="AX47" s="2" t="n">
        <f aca="false">1-SUMPRODUCT(ABS(Tekstboek!$AH$11:$AU$11-Gebruikt!$AH$48:$AU$48))/14</f>
        <v>0.757142857142857</v>
      </c>
    </row>
    <row r="48" customFormat="false" ht="15" hidden="false" customHeight="false" outlineLevel="0" collapsed="false">
      <c r="A48" s="8" t="str">
        <f aca="false">Tekstboek!A12</f>
        <v>B09</v>
      </c>
      <c r="B48" s="8" t="str">
        <f aca="false">Tekstboek!B12</f>
        <v>[4 qubits] Half adder (Toffoli + CNOT)</v>
      </c>
      <c r="C48" s="2" t="n">
        <f aca="false">1-D48</f>
        <v>0.128571428571429</v>
      </c>
      <c r="D48" s="2" t="n">
        <f aca="false">MAX(F48:AX48)</f>
        <v>0.871428571428571</v>
      </c>
      <c r="E48" s="2" t="str">
        <f aca="false">INDEX(Gebruikt!$B$4:$B$48,MATCH(D48,F48:AX48,0))</f>
        <v>Karatsuba squaring (recursive, in place)</v>
      </c>
      <c r="F48" s="2" t="n">
        <f aca="false">1-SUMPRODUCT(ABS(Tekstboek!$AH$12:$AU$12-Gebruikt!$AH$4:$AU$4))/14</f>
        <v>0.7</v>
      </c>
      <c r="G48" s="2" t="n">
        <f aca="false">1-SUMPRODUCT(ABS(Tekstboek!$AH$12:$AU$12-Gebruikt!$AH$5:$AU$5))/14</f>
        <v>0.642857142857143</v>
      </c>
      <c r="H48" s="2" t="n">
        <f aca="false">1-SUMPRODUCT(ABS(Tekstboek!$AH$12:$AU$12-Gebruikt!$AH$6:$AU$6))/14</f>
        <v>0.642857142857143</v>
      </c>
      <c r="I48" s="2" t="n">
        <f aca="false">1-SUMPRODUCT(ABS(Tekstboek!$AH$12:$AU$12-Gebruikt!$AH$7:$AU$7))/14</f>
        <v>0.571428571428571</v>
      </c>
      <c r="J48" s="2" t="n">
        <f aca="false">1-SUMPRODUCT(ABS(Tekstboek!$AH$12:$AU$12-Gebruikt!$AH$8:$AU$8))/14</f>
        <v>0.678571428571429</v>
      </c>
      <c r="K48" s="2" t="n">
        <f aca="false">1-SUMPRODUCT(ABS(Tekstboek!$AH$12:$AU$12-Gebruikt!$AH$9:$AU$9))/14</f>
        <v>0.528571428571429</v>
      </c>
      <c r="L48" s="2" t="n">
        <f aca="false">1-SUMPRODUCT(ABS(Tekstboek!$AH$12:$AU$12-Gebruikt!$AH$10:$AU$10))/14</f>
        <v>0.528571428571429</v>
      </c>
      <c r="M48" s="2" t="n">
        <f aca="false">1-SUMPRODUCT(ABS(Tekstboek!$AH$12:$AU$12-Gebruikt!$AH$11:$AU$11))/14</f>
        <v>0.528571428571429</v>
      </c>
      <c r="N48" s="2" t="n">
        <f aca="false">1-SUMPRODUCT(ABS(Tekstboek!$AH$12:$AU$12-Gebruikt!$AH$12:$AU$12))/14</f>
        <v>0.492857142857143</v>
      </c>
      <c r="O48" s="2" t="n">
        <f aca="false">1-SUMPRODUCT(ABS(Tekstboek!$AH$12:$AU$12-Gebruikt!$AH$13:$AU$13))/14</f>
        <v>0.728571428571429</v>
      </c>
      <c r="P48" s="2" t="n">
        <f aca="false">1-SUMPRODUCT(ABS(Tekstboek!$AH$12:$AU$12-Gebruikt!$AH$14:$AU$14))/14</f>
        <v>0.6</v>
      </c>
      <c r="Q48" s="2" t="n">
        <f aca="false">1-SUMPRODUCT(ABS(Tekstboek!$AH$12:$AU$12-Gebruikt!$AH$15:$AU$15))/14</f>
        <v>0.671428571428572</v>
      </c>
      <c r="R48" s="2" t="n">
        <f aca="false">1-SUMPRODUCT(ABS(Tekstboek!$AH$12:$AU$12-Gebruikt!$AH$16:$AU$16))/14</f>
        <v>0.671428571428572</v>
      </c>
      <c r="S48" s="2" t="n">
        <f aca="false">1-SUMPRODUCT(ABS(Tekstboek!$AH$12:$AU$12-Gebruikt!$AH$17:$AU$17))/14</f>
        <v>0.564285714285714</v>
      </c>
      <c r="T48" s="2" t="n">
        <f aca="false">1-SUMPRODUCT(ABS(Tekstboek!$AH$12:$AU$12-Gebruikt!$AH$18:$AU$18))/14</f>
        <v>0.7</v>
      </c>
      <c r="U48" s="2" t="n">
        <f aca="false">1-SUMPRODUCT(ABS(Tekstboek!$AH$12:$AU$12-Gebruikt!$AH$19:$AU$19))/14</f>
        <v>0.785714285714286</v>
      </c>
      <c r="V48" s="2" t="n">
        <f aca="false">1-SUMPRODUCT(ABS(Tekstboek!$AH$12:$AU$12-Gebruikt!$AH$20:$AU$20))/14</f>
        <v>0.528571428571429</v>
      </c>
      <c r="W48" s="2" t="n">
        <f aca="false">1-SUMPRODUCT(ABS(Tekstboek!$AH$12:$AU$12-Gebruikt!$AH$21:$AU$21))/14</f>
        <v>0.642857142857143</v>
      </c>
      <c r="X48" s="2" t="n">
        <f aca="false">1-SUMPRODUCT(ABS(Tekstboek!$AH$12:$AU$12-Gebruikt!$AH$22:$AU$22))/14</f>
        <v>0.721428571428571</v>
      </c>
      <c r="Y48" s="2" t="n">
        <f aca="false">1-SUMPRODUCT(ABS(Tekstboek!$AH$12:$AU$12-Gebruikt!$AH$23:$AU$23))/14</f>
        <v>0.678571428571429</v>
      </c>
      <c r="Z48" s="2" t="n">
        <f aca="false">1-SUMPRODUCT(ABS(Tekstboek!$AH$12:$AU$12-Gebruikt!$AH$24:$AU$24))/14</f>
        <v>0.678571428571429</v>
      </c>
      <c r="AA48" s="2" t="n">
        <f aca="false">1-SUMPRODUCT(ABS(Tekstboek!$AH$12:$AU$12-Gebruikt!$AH$25:$AU$25))/14</f>
        <v>0.871428571428571</v>
      </c>
      <c r="AB48" s="2" t="n">
        <f aca="false">1-SUMPRODUCT(ABS(Tekstboek!$AH$12:$AU$12-Gebruikt!$AH$26:$AU$26))/14</f>
        <v>0.728571428571429</v>
      </c>
      <c r="AC48" s="2" t="n">
        <f aca="false">1-SUMPRODUCT(ABS(Tekstboek!$AH$12:$AU$12-Gebruikt!$AH$27:$AU$27))/14</f>
        <v>0.8</v>
      </c>
      <c r="AD48" s="2" t="n">
        <f aca="false">1-SUMPRODUCT(ABS(Tekstboek!$AH$12:$AU$12-Gebruikt!$AH$28:$AU$28))/14</f>
        <v>0.728571428571429</v>
      </c>
      <c r="AE48" s="2" t="n">
        <f aca="false">1-SUMPRODUCT(ABS(Tekstboek!$AH$12:$AU$12-Gebruikt!$AH$29:$AU$29))/14</f>
        <v>0.535714285714286</v>
      </c>
      <c r="AF48" s="2" t="n">
        <f aca="false">1-SUMPRODUCT(ABS(Tekstboek!$AH$12:$AU$12-Gebruikt!$AH$30:$AU$30))/14</f>
        <v>0.507142857142857</v>
      </c>
      <c r="AG48" s="2" t="n">
        <f aca="false">1-SUMPRODUCT(ABS(Tekstboek!$AH$12:$AU$12-Gebruikt!$AH$31:$AU$31))/14</f>
        <v>0.771428571428571</v>
      </c>
      <c r="AH48" s="2" t="n">
        <f aca="false">1-SUMPRODUCT(ABS(Tekstboek!$AH$12:$AU$12-Gebruikt!$AH$32:$AU$32))/14</f>
        <v>0.7</v>
      </c>
      <c r="AI48" s="2" t="n">
        <f aca="false">1-SUMPRODUCT(ABS(Tekstboek!$AH$12:$AU$12-Gebruikt!$AH$33:$AU$33))/14</f>
        <v>0.535714285714286</v>
      </c>
      <c r="AJ48" s="2" t="n">
        <f aca="false">1-SUMPRODUCT(ABS(Tekstboek!$AH$12:$AU$12-Gebruikt!$AH$34:$AU$34))/14</f>
        <v>0.642857142857143</v>
      </c>
      <c r="AK48" s="2" t="n">
        <f aca="false">1-SUMPRODUCT(ABS(Tekstboek!$AH$12:$AU$12-Gebruikt!$AH$35:$AU$35))/14</f>
        <v>0.678571428571429</v>
      </c>
      <c r="AL48" s="2" t="n">
        <f aca="false">1-SUMPRODUCT(ABS(Tekstboek!$AH$12:$AU$12-Gebruikt!$AH$36:$AU$36))/14</f>
        <v>0.771428571428571</v>
      </c>
      <c r="AM48" s="2" t="n">
        <f aca="false">1-SUMPRODUCT(ABS(Tekstboek!$AH$12:$AU$12-Gebruikt!$AH$37:$AU$37))/14</f>
        <v>0.628571428571429</v>
      </c>
      <c r="AN48" s="2" t="n">
        <f aca="false">1-SUMPRODUCT(ABS(Tekstboek!$AH$12:$AU$12-Gebruikt!$AH$38:$AU$38))/14</f>
        <v>0.535714285714286</v>
      </c>
      <c r="AO48" s="2" t="n">
        <f aca="false">1-SUMPRODUCT(ABS(Tekstboek!$AH$12:$AU$12-Gebruikt!$AH$39:$AU$39))/14</f>
        <v>0.642857142857143</v>
      </c>
      <c r="AP48" s="2" t="n">
        <f aca="false">1-SUMPRODUCT(ABS(Tekstboek!$AH$12:$AU$12-Gebruikt!$AH$40:$AU$40))/14</f>
        <v>0.528571428571429</v>
      </c>
      <c r="AQ48" s="2" t="n">
        <f aca="false">1-SUMPRODUCT(ABS(Tekstboek!$AH$12:$AU$12-Gebruikt!$AH$41:$AU$41))/14</f>
        <v>0.578571428571429</v>
      </c>
      <c r="AR48" s="2" t="n">
        <f aca="false">1-SUMPRODUCT(ABS(Tekstboek!$AH$12:$AU$12-Gebruikt!$AH$42:$AU$42))/14</f>
        <v>0.528571428571429</v>
      </c>
      <c r="AS48" s="2" t="n">
        <f aca="false">1-SUMPRODUCT(ABS(Tekstboek!$AH$12:$AU$12-Gebruikt!$AH$43:$AU$43))/14</f>
        <v>0.564285714285714</v>
      </c>
      <c r="AT48" s="2" t="n">
        <f aca="false">1-SUMPRODUCT(ABS(Tekstboek!$AH$12:$AU$12-Gebruikt!$AH$44:$AU$44))/14</f>
        <v>0.707142857142857</v>
      </c>
      <c r="AU48" s="2" t="n">
        <f aca="false">1-SUMPRODUCT(ABS(Tekstboek!$AH$12:$AU$12-Gebruikt!$AH$45:$AU$45))/14</f>
        <v>0.564285714285714</v>
      </c>
      <c r="AV48" s="2" t="n">
        <f aca="false">1-SUMPRODUCT(ABS(Tekstboek!$AH$12:$AU$12-Gebruikt!$AH$46:$AU$46))/14</f>
        <v>0.864285714285714</v>
      </c>
      <c r="AW48" s="2" t="n">
        <f aca="false">1-SUMPRODUCT(ABS(Tekstboek!$AH$12:$AU$12-Gebruikt!$AH$47:$AU$47))/14</f>
        <v>0.528571428571429</v>
      </c>
      <c r="AX48" s="2" t="n">
        <f aca="false">1-SUMPRODUCT(ABS(Tekstboek!$AH$12:$AU$12-Gebruikt!$AH$48:$AU$48))/14</f>
        <v>0.564285714285714</v>
      </c>
    </row>
    <row r="49" customFormat="false" ht="15" hidden="false" customHeight="false" outlineLevel="0" collapsed="false">
      <c r="A49" s="8" t="str">
        <f aca="false">Tekstboek!A13</f>
        <v>B10</v>
      </c>
      <c r="B49" s="8" t="str">
        <f aca="false">Tekstboek!B13</f>
        <v>[4 qubits] Full adder MAJ / UMA (Cuccaro)</v>
      </c>
      <c r="C49" s="2" t="n">
        <f aca="false">1-D49</f>
        <v>0.128571428571429</v>
      </c>
      <c r="D49" s="2" t="n">
        <f aca="false">MAX(F49:AX49)</f>
        <v>0.871428571428571</v>
      </c>
      <c r="E49" s="2" t="str">
        <f aca="false">INDEX(Gebruikt!$B$4:$B$48,MATCH(D49,F49:AX49,0))</f>
        <v>Karatsuba squaring (recursive, in place)</v>
      </c>
      <c r="F49" s="2" t="n">
        <f aca="false">1-SUMPRODUCT(ABS(Tekstboek!$AH$13:$AU$13-Gebruikt!$AH$4:$AU$4))/14</f>
        <v>0.7</v>
      </c>
      <c r="G49" s="2" t="n">
        <f aca="false">1-SUMPRODUCT(ABS(Tekstboek!$AH$13:$AU$13-Gebruikt!$AH$5:$AU$5))/14</f>
        <v>0.642857142857143</v>
      </c>
      <c r="H49" s="2" t="n">
        <f aca="false">1-SUMPRODUCT(ABS(Tekstboek!$AH$13:$AU$13-Gebruikt!$AH$6:$AU$6))/14</f>
        <v>0.642857142857143</v>
      </c>
      <c r="I49" s="2" t="n">
        <f aca="false">1-SUMPRODUCT(ABS(Tekstboek!$AH$13:$AU$13-Gebruikt!$AH$7:$AU$7))/14</f>
        <v>0.571428571428571</v>
      </c>
      <c r="J49" s="2" t="n">
        <f aca="false">1-SUMPRODUCT(ABS(Tekstboek!$AH$13:$AU$13-Gebruikt!$AH$8:$AU$8))/14</f>
        <v>0.678571428571429</v>
      </c>
      <c r="K49" s="2" t="n">
        <f aca="false">1-SUMPRODUCT(ABS(Tekstboek!$AH$13:$AU$13-Gebruikt!$AH$9:$AU$9))/14</f>
        <v>0.528571428571429</v>
      </c>
      <c r="L49" s="2" t="n">
        <f aca="false">1-SUMPRODUCT(ABS(Tekstboek!$AH$13:$AU$13-Gebruikt!$AH$10:$AU$10))/14</f>
        <v>0.528571428571429</v>
      </c>
      <c r="M49" s="2" t="n">
        <f aca="false">1-SUMPRODUCT(ABS(Tekstboek!$AH$13:$AU$13-Gebruikt!$AH$11:$AU$11))/14</f>
        <v>0.528571428571429</v>
      </c>
      <c r="N49" s="2" t="n">
        <f aca="false">1-SUMPRODUCT(ABS(Tekstboek!$AH$13:$AU$13-Gebruikt!$AH$12:$AU$12))/14</f>
        <v>0.492857142857143</v>
      </c>
      <c r="O49" s="2" t="n">
        <f aca="false">1-SUMPRODUCT(ABS(Tekstboek!$AH$13:$AU$13-Gebruikt!$AH$13:$AU$13))/14</f>
        <v>0.728571428571429</v>
      </c>
      <c r="P49" s="2" t="n">
        <f aca="false">1-SUMPRODUCT(ABS(Tekstboek!$AH$13:$AU$13-Gebruikt!$AH$14:$AU$14))/14</f>
        <v>0.6</v>
      </c>
      <c r="Q49" s="2" t="n">
        <f aca="false">1-SUMPRODUCT(ABS(Tekstboek!$AH$13:$AU$13-Gebruikt!$AH$15:$AU$15))/14</f>
        <v>0.671428571428572</v>
      </c>
      <c r="R49" s="2" t="n">
        <f aca="false">1-SUMPRODUCT(ABS(Tekstboek!$AH$13:$AU$13-Gebruikt!$AH$16:$AU$16))/14</f>
        <v>0.671428571428572</v>
      </c>
      <c r="S49" s="2" t="n">
        <f aca="false">1-SUMPRODUCT(ABS(Tekstboek!$AH$13:$AU$13-Gebruikt!$AH$17:$AU$17))/14</f>
        <v>0.564285714285714</v>
      </c>
      <c r="T49" s="2" t="n">
        <f aca="false">1-SUMPRODUCT(ABS(Tekstboek!$AH$13:$AU$13-Gebruikt!$AH$18:$AU$18))/14</f>
        <v>0.7</v>
      </c>
      <c r="U49" s="2" t="n">
        <f aca="false">1-SUMPRODUCT(ABS(Tekstboek!$AH$13:$AU$13-Gebruikt!$AH$19:$AU$19))/14</f>
        <v>0.785714285714286</v>
      </c>
      <c r="V49" s="2" t="n">
        <f aca="false">1-SUMPRODUCT(ABS(Tekstboek!$AH$13:$AU$13-Gebruikt!$AH$20:$AU$20))/14</f>
        <v>0.528571428571429</v>
      </c>
      <c r="W49" s="2" t="n">
        <f aca="false">1-SUMPRODUCT(ABS(Tekstboek!$AH$13:$AU$13-Gebruikt!$AH$21:$AU$21))/14</f>
        <v>0.642857142857143</v>
      </c>
      <c r="X49" s="2" t="n">
        <f aca="false">1-SUMPRODUCT(ABS(Tekstboek!$AH$13:$AU$13-Gebruikt!$AH$22:$AU$22))/14</f>
        <v>0.721428571428571</v>
      </c>
      <c r="Y49" s="2" t="n">
        <f aca="false">1-SUMPRODUCT(ABS(Tekstboek!$AH$13:$AU$13-Gebruikt!$AH$23:$AU$23))/14</f>
        <v>0.678571428571429</v>
      </c>
      <c r="Z49" s="2" t="n">
        <f aca="false">1-SUMPRODUCT(ABS(Tekstboek!$AH$13:$AU$13-Gebruikt!$AH$24:$AU$24))/14</f>
        <v>0.678571428571429</v>
      </c>
      <c r="AA49" s="2" t="n">
        <f aca="false">1-SUMPRODUCT(ABS(Tekstboek!$AH$13:$AU$13-Gebruikt!$AH$25:$AU$25))/14</f>
        <v>0.871428571428571</v>
      </c>
      <c r="AB49" s="2" t="n">
        <f aca="false">1-SUMPRODUCT(ABS(Tekstboek!$AH$13:$AU$13-Gebruikt!$AH$26:$AU$26))/14</f>
        <v>0.728571428571429</v>
      </c>
      <c r="AC49" s="2" t="n">
        <f aca="false">1-SUMPRODUCT(ABS(Tekstboek!$AH$13:$AU$13-Gebruikt!$AH$27:$AU$27))/14</f>
        <v>0.8</v>
      </c>
      <c r="AD49" s="2" t="n">
        <f aca="false">1-SUMPRODUCT(ABS(Tekstboek!$AH$13:$AU$13-Gebruikt!$AH$28:$AU$28))/14</f>
        <v>0.728571428571429</v>
      </c>
      <c r="AE49" s="2" t="n">
        <f aca="false">1-SUMPRODUCT(ABS(Tekstboek!$AH$13:$AU$13-Gebruikt!$AH$29:$AU$29))/14</f>
        <v>0.535714285714286</v>
      </c>
      <c r="AF49" s="2" t="n">
        <f aca="false">1-SUMPRODUCT(ABS(Tekstboek!$AH$13:$AU$13-Gebruikt!$AH$30:$AU$30))/14</f>
        <v>0.507142857142857</v>
      </c>
      <c r="AG49" s="2" t="n">
        <f aca="false">1-SUMPRODUCT(ABS(Tekstboek!$AH$13:$AU$13-Gebruikt!$AH$31:$AU$31))/14</f>
        <v>0.771428571428571</v>
      </c>
      <c r="AH49" s="2" t="n">
        <f aca="false">1-SUMPRODUCT(ABS(Tekstboek!$AH$13:$AU$13-Gebruikt!$AH$32:$AU$32))/14</f>
        <v>0.7</v>
      </c>
      <c r="AI49" s="2" t="n">
        <f aca="false">1-SUMPRODUCT(ABS(Tekstboek!$AH$13:$AU$13-Gebruikt!$AH$33:$AU$33))/14</f>
        <v>0.535714285714286</v>
      </c>
      <c r="AJ49" s="2" t="n">
        <f aca="false">1-SUMPRODUCT(ABS(Tekstboek!$AH$13:$AU$13-Gebruikt!$AH$34:$AU$34))/14</f>
        <v>0.642857142857143</v>
      </c>
      <c r="AK49" s="2" t="n">
        <f aca="false">1-SUMPRODUCT(ABS(Tekstboek!$AH$13:$AU$13-Gebruikt!$AH$35:$AU$35))/14</f>
        <v>0.678571428571429</v>
      </c>
      <c r="AL49" s="2" t="n">
        <f aca="false">1-SUMPRODUCT(ABS(Tekstboek!$AH$13:$AU$13-Gebruikt!$AH$36:$AU$36))/14</f>
        <v>0.771428571428571</v>
      </c>
      <c r="AM49" s="2" t="n">
        <f aca="false">1-SUMPRODUCT(ABS(Tekstboek!$AH$13:$AU$13-Gebruikt!$AH$37:$AU$37))/14</f>
        <v>0.628571428571429</v>
      </c>
      <c r="AN49" s="2" t="n">
        <f aca="false">1-SUMPRODUCT(ABS(Tekstboek!$AH$13:$AU$13-Gebruikt!$AH$38:$AU$38))/14</f>
        <v>0.535714285714286</v>
      </c>
      <c r="AO49" s="2" t="n">
        <f aca="false">1-SUMPRODUCT(ABS(Tekstboek!$AH$13:$AU$13-Gebruikt!$AH$39:$AU$39))/14</f>
        <v>0.642857142857143</v>
      </c>
      <c r="AP49" s="2" t="n">
        <f aca="false">1-SUMPRODUCT(ABS(Tekstboek!$AH$13:$AU$13-Gebruikt!$AH$40:$AU$40))/14</f>
        <v>0.528571428571429</v>
      </c>
      <c r="AQ49" s="2" t="n">
        <f aca="false">1-SUMPRODUCT(ABS(Tekstboek!$AH$13:$AU$13-Gebruikt!$AH$41:$AU$41))/14</f>
        <v>0.578571428571429</v>
      </c>
      <c r="AR49" s="2" t="n">
        <f aca="false">1-SUMPRODUCT(ABS(Tekstboek!$AH$13:$AU$13-Gebruikt!$AH$42:$AU$42))/14</f>
        <v>0.528571428571429</v>
      </c>
      <c r="AS49" s="2" t="n">
        <f aca="false">1-SUMPRODUCT(ABS(Tekstboek!$AH$13:$AU$13-Gebruikt!$AH$43:$AU$43))/14</f>
        <v>0.564285714285714</v>
      </c>
      <c r="AT49" s="2" t="n">
        <f aca="false">1-SUMPRODUCT(ABS(Tekstboek!$AH$13:$AU$13-Gebruikt!$AH$44:$AU$44))/14</f>
        <v>0.707142857142857</v>
      </c>
      <c r="AU49" s="2" t="n">
        <f aca="false">1-SUMPRODUCT(ABS(Tekstboek!$AH$13:$AU$13-Gebruikt!$AH$45:$AU$45))/14</f>
        <v>0.564285714285714</v>
      </c>
      <c r="AV49" s="2" t="n">
        <f aca="false">1-SUMPRODUCT(ABS(Tekstboek!$AH$13:$AU$13-Gebruikt!$AH$46:$AU$46))/14</f>
        <v>0.864285714285714</v>
      </c>
      <c r="AW49" s="2" t="n">
        <f aca="false">1-SUMPRODUCT(ABS(Tekstboek!$AH$13:$AU$13-Gebruikt!$AH$47:$AU$47))/14</f>
        <v>0.528571428571429</v>
      </c>
      <c r="AX49" s="2" t="n">
        <f aca="false">1-SUMPRODUCT(ABS(Tekstboek!$AH$13:$AU$13-Gebruikt!$AH$48:$AU$48))/14</f>
        <v>0.564285714285714</v>
      </c>
    </row>
    <row r="50" customFormat="false" ht="15" hidden="false" customHeight="false" outlineLevel="0" collapsed="false">
      <c r="A50" s="8" t="str">
        <f aca="false">Tekstboek!A14</f>
        <v>B11</v>
      </c>
      <c r="B50" s="8" t="str">
        <f aca="false">Tekstboek!B14</f>
        <v>[n-bit] VBE ripple adder</v>
      </c>
      <c r="C50" s="2" t="n">
        <f aca="false">1-D50</f>
        <v>0.114285714285714</v>
      </c>
      <c r="D50" s="2" t="n">
        <f aca="false">MAX(F50:AX50)</f>
        <v>0.885714285714286</v>
      </c>
      <c r="E50" s="2" t="str">
        <f aca="false">INDEX(Gebruikt!$B$4:$B$48,MATCH(D50,F50:AX50,0))</f>
        <v>Karatsuba squaring (recursive, in place)</v>
      </c>
      <c r="F50" s="2" t="n">
        <f aca="false">1-SUMPRODUCT(ABS(Tekstboek!$AH$14:$AU$14-Gebruikt!$AH$4:$AU$4))/14</f>
        <v>0.714285714285714</v>
      </c>
      <c r="G50" s="2" t="n">
        <f aca="false">1-SUMPRODUCT(ABS(Tekstboek!$AH$14:$AU$14-Gebruikt!$AH$5:$AU$5))/14</f>
        <v>0.657142857142857</v>
      </c>
      <c r="H50" s="2" t="n">
        <f aca="false">1-SUMPRODUCT(ABS(Tekstboek!$AH$14:$AU$14-Gebruikt!$AH$6:$AU$6))/14</f>
        <v>0.657142857142857</v>
      </c>
      <c r="I50" s="2" t="n">
        <f aca="false">1-SUMPRODUCT(ABS(Tekstboek!$AH$14:$AU$14-Gebruikt!$AH$7:$AU$7))/14</f>
        <v>0.585714285714286</v>
      </c>
      <c r="J50" s="2" t="n">
        <f aca="false">1-SUMPRODUCT(ABS(Tekstboek!$AH$14:$AU$14-Gebruikt!$AH$8:$AU$8))/14</f>
        <v>0.692857142857143</v>
      </c>
      <c r="K50" s="2" t="n">
        <f aca="false">1-SUMPRODUCT(ABS(Tekstboek!$AH$14:$AU$14-Gebruikt!$AH$9:$AU$9))/14</f>
        <v>0.514285714285714</v>
      </c>
      <c r="L50" s="2" t="n">
        <f aca="false">1-SUMPRODUCT(ABS(Tekstboek!$AH$14:$AU$14-Gebruikt!$AH$10:$AU$10))/14</f>
        <v>0.514285714285714</v>
      </c>
      <c r="M50" s="2" t="n">
        <f aca="false">1-SUMPRODUCT(ABS(Tekstboek!$AH$14:$AU$14-Gebruikt!$AH$11:$AU$11))/14</f>
        <v>0.514285714285714</v>
      </c>
      <c r="N50" s="2" t="n">
        <f aca="false">1-SUMPRODUCT(ABS(Tekstboek!$AH$14:$AU$14-Gebruikt!$AH$12:$AU$12))/14</f>
        <v>0.478571428571429</v>
      </c>
      <c r="O50" s="2" t="n">
        <f aca="false">1-SUMPRODUCT(ABS(Tekstboek!$AH$14:$AU$14-Gebruikt!$AH$13:$AU$13))/14</f>
        <v>0.742857142857143</v>
      </c>
      <c r="P50" s="2" t="n">
        <f aca="false">1-SUMPRODUCT(ABS(Tekstboek!$AH$14:$AU$14-Gebruikt!$AH$14:$AU$14))/14</f>
        <v>0.585714285714286</v>
      </c>
      <c r="Q50" s="2" t="n">
        <f aca="false">1-SUMPRODUCT(ABS(Tekstboek!$AH$14:$AU$14-Gebruikt!$AH$15:$AU$15))/14</f>
        <v>0.657142857142857</v>
      </c>
      <c r="R50" s="2" t="n">
        <f aca="false">1-SUMPRODUCT(ABS(Tekstboek!$AH$14:$AU$14-Gebruikt!$AH$16:$AU$16))/14</f>
        <v>0.657142857142857</v>
      </c>
      <c r="S50" s="2" t="n">
        <f aca="false">1-SUMPRODUCT(ABS(Tekstboek!$AH$14:$AU$14-Gebruikt!$AH$17:$AU$17))/14</f>
        <v>0.55</v>
      </c>
      <c r="T50" s="2" t="n">
        <f aca="false">1-SUMPRODUCT(ABS(Tekstboek!$AH$14:$AU$14-Gebruikt!$AH$18:$AU$18))/14</f>
        <v>0.714285714285714</v>
      </c>
      <c r="U50" s="2" t="n">
        <f aca="false">1-SUMPRODUCT(ABS(Tekstboek!$AH$14:$AU$14-Gebruikt!$AH$19:$AU$19))/14</f>
        <v>0.8</v>
      </c>
      <c r="V50" s="2" t="n">
        <f aca="false">1-SUMPRODUCT(ABS(Tekstboek!$AH$14:$AU$14-Gebruikt!$AH$20:$AU$20))/14</f>
        <v>0.514285714285714</v>
      </c>
      <c r="W50" s="2" t="n">
        <f aca="false">1-SUMPRODUCT(ABS(Tekstboek!$AH$14:$AU$14-Gebruikt!$AH$21:$AU$21))/14</f>
        <v>0.657142857142857</v>
      </c>
      <c r="X50" s="2" t="n">
        <f aca="false">1-SUMPRODUCT(ABS(Tekstboek!$AH$14:$AU$14-Gebruikt!$AH$22:$AU$22))/14</f>
        <v>0.735714285714286</v>
      </c>
      <c r="Y50" s="2" t="n">
        <f aca="false">1-SUMPRODUCT(ABS(Tekstboek!$AH$14:$AU$14-Gebruikt!$AH$23:$AU$23))/14</f>
        <v>0.692857142857143</v>
      </c>
      <c r="Z50" s="2" t="n">
        <f aca="false">1-SUMPRODUCT(ABS(Tekstboek!$AH$14:$AU$14-Gebruikt!$AH$24:$AU$24))/14</f>
        <v>0.692857142857143</v>
      </c>
      <c r="AA50" s="2" t="n">
        <f aca="false">1-SUMPRODUCT(ABS(Tekstboek!$AH$14:$AU$14-Gebruikt!$AH$25:$AU$25))/14</f>
        <v>0.885714285714286</v>
      </c>
      <c r="AB50" s="2" t="n">
        <f aca="false">1-SUMPRODUCT(ABS(Tekstboek!$AH$14:$AU$14-Gebruikt!$AH$26:$AU$26))/14</f>
        <v>0.742857142857143</v>
      </c>
      <c r="AC50" s="2" t="n">
        <f aca="false">1-SUMPRODUCT(ABS(Tekstboek!$AH$14:$AU$14-Gebruikt!$AH$27:$AU$27))/14</f>
        <v>0.814285714285714</v>
      </c>
      <c r="AD50" s="2" t="n">
        <f aca="false">1-SUMPRODUCT(ABS(Tekstboek!$AH$14:$AU$14-Gebruikt!$AH$28:$AU$28))/14</f>
        <v>0.742857142857143</v>
      </c>
      <c r="AE50" s="2" t="n">
        <f aca="false">1-SUMPRODUCT(ABS(Tekstboek!$AH$14:$AU$14-Gebruikt!$AH$29:$AU$29))/14</f>
        <v>0.55</v>
      </c>
      <c r="AF50" s="2" t="n">
        <f aca="false">1-SUMPRODUCT(ABS(Tekstboek!$AH$14:$AU$14-Gebruikt!$AH$30:$AU$30))/14</f>
        <v>0.492857142857143</v>
      </c>
      <c r="AG50" s="2" t="n">
        <f aca="false">1-SUMPRODUCT(ABS(Tekstboek!$AH$14:$AU$14-Gebruikt!$AH$31:$AU$31))/14</f>
        <v>0.785714285714286</v>
      </c>
      <c r="AH50" s="2" t="n">
        <f aca="false">1-SUMPRODUCT(ABS(Tekstboek!$AH$14:$AU$14-Gebruikt!$AH$32:$AU$32))/14</f>
        <v>0.714285714285714</v>
      </c>
      <c r="AI50" s="2" t="n">
        <f aca="false">1-SUMPRODUCT(ABS(Tekstboek!$AH$14:$AU$14-Gebruikt!$AH$33:$AU$33))/14</f>
        <v>0.55</v>
      </c>
      <c r="AJ50" s="2" t="n">
        <f aca="false">1-SUMPRODUCT(ABS(Tekstboek!$AH$14:$AU$14-Gebruikt!$AH$34:$AU$34))/14</f>
        <v>0.657142857142857</v>
      </c>
      <c r="AK50" s="2" t="n">
        <f aca="false">1-SUMPRODUCT(ABS(Tekstboek!$AH$14:$AU$14-Gebruikt!$AH$35:$AU$35))/14</f>
        <v>0.692857142857143</v>
      </c>
      <c r="AL50" s="2" t="n">
        <f aca="false">1-SUMPRODUCT(ABS(Tekstboek!$AH$14:$AU$14-Gebruikt!$AH$36:$AU$36))/14</f>
        <v>0.785714285714286</v>
      </c>
      <c r="AM50" s="2" t="n">
        <f aca="false">1-SUMPRODUCT(ABS(Tekstboek!$AH$14:$AU$14-Gebruikt!$AH$37:$AU$37))/14</f>
        <v>0.642857142857143</v>
      </c>
      <c r="AN50" s="2" t="n">
        <f aca="false">1-SUMPRODUCT(ABS(Tekstboek!$AH$14:$AU$14-Gebruikt!$AH$38:$AU$38))/14</f>
        <v>0.55</v>
      </c>
      <c r="AO50" s="2" t="n">
        <f aca="false">1-SUMPRODUCT(ABS(Tekstboek!$AH$14:$AU$14-Gebruikt!$AH$39:$AU$39))/14</f>
        <v>0.657142857142857</v>
      </c>
      <c r="AP50" s="2" t="n">
        <f aca="false">1-SUMPRODUCT(ABS(Tekstboek!$AH$14:$AU$14-Gebruikt!$AH$40:$AU$40))/14</f>
        <v>0.514285714285714</v>
      </c>
      <c r="AQ50" s="2" t="n">
        <f aca="false">1-SUMPRODUCT(ABS(Tekstboek!$AH$14:$AU$14-Gebruikt!$AH$41:$AU$41))/14</f>
        <v>0.564285714285714</v>
      </c>
      <c r="AR50" s="2" t="n">
        <f aca="false">1-SUMPRODUCT(ABS(Tekstboek!$AH$14:$AU$14-Gebruikt!$AH$42:$AU$42))/14</f>
        <v>0.514285714285714</v>
      </c>
      <c r="AS50" s="2" t="n">
        <f aca="false">1-SUMPRODUCT(ABS(Tekstboek!$AH$14:$AU$14-Gebruikt!$AH$43:$AU$43))/14</f>
        <v>0.55</v>
      </c>
      <c r="AT50" s="2" t="n">
        <f aca="false">1-SUMPRODUCT(ABS(Tekstboek!$AH$14:$AU$14-Gebruikt!$AH$44:$AU$44))/14</f>
        <v>0.692857142857143</v>
      </c>
      <c r="AU50" s="2" t="n">
        <f aca="false">1-SUMPRODUCT(ABS(Tekstboek!$AH$14:$AU$14-Gebruikt!$AH$45:$AU$45))/14</f>
        <v>0.55</v>
      </c>
      <c r="AV50" s="2" t="n">
        <f aca="false">1-SUMPRODUCT(ABS(Tekstboek!$AH$14:$AU$14-Gebruikt!$AH$46:$AU$46))/14</f>
        <v>0.878571428571429</v>
      </c>
      <c r="AW50" s="2" t="n">
        <f aca="false">1-SUMPRODUCT(ABS(Tekstboek!$AH$14:$AU$14-Gebruikt!$AH$47:$AU$47))/14</f>
        <v>0.514285714285714</v>
      </c>
      <c r="AX50" s="2" t="n">
        <f aca="false">1-SUMPRODUCT(ABS(Tekstboek!$AH$14:$AU$14-Gebruikt!$AH$48:$AU$48))/14</f>
        <v>0.55</v>
      </c>
    </row>
    <row r="51" customFormat="false" ht="15" hidden="false" customHeight="false" outlineLevel="0" collapsed="false">
      <c r="A51" s="8" t="str">
        <f aca="false">Tekstboek!A15</f>
        <v>B12</v>
      </c>
      <c r="B51" s="8" t="str">
        <f aca="false">Tekstboek!B15</f>
        <v>[n-bit] CDKM / Cuccaro ripple adder</v>
      </c>
      <c r="C51" s="2" t="n">
        <f aca="false">1-D51</f>
        <v>0.114285714285714</v>
      </c>
      <c r="D51" s="2" t="n">
        <f aca="false">MAX(F51:AX51)</f>
        <v>0.885714285714286</v>
      </c>
      <c r="E51" s="2" t="str">
        <f aca="false">INDEX(Gebruikt!$B$4:$B$48,MATCH(D51,F51:AX51,0))</f>
        <v>Karatsuba squaring (recursive, in place)</v>
      </c>
      <c r="F51" s="2" t="n">
        <f aca="false">1-SUMPRODUCT(ABS(Tekstboek!$AH$15:$AU$15-Gebruikt!$AH$4:$AU$4))/14</f>
        <v>0.714285714285714</v>
      </c>
      <c r="G51" s="2" t="n">
        <f aca="false">1-SUMPRODUCT(ABS(Tekstboek!$AH$15:$AU$15-Gebruikt!$AH$5:$AU$5))/14</f>
        <v>0.657142857142857</v>
      </c>
      <c r="H51" s="2" t="n">
        <f aca="false">1-SUMPRODUCT(ABS(Tekstboek!$AH$15:$AU$15-Gebruikt!$AH$6:$AU$6))/14</f>
        <v>0.657142857142857</v>
      </c>
      <c r="I51" s="2" t="n">
        <f aca="false">1-SUMPRODUCT(ABS(Tekstboek!$AH$15:$AU$15-Gebruikt!$AH$7:$AU$7))/14</f>
        <v>0.585714285714286</v>
      </c>
      <c r="J51" s="2" t="n">
        <f aca="false">1-SUMPRODUCT(ABS(Tekstboek!$AH$15:$AU$15-Gebruikt!$AH$8:$AU$8))/14</f>
        <v>0.692857142857143</v>
      </c>
      <c r="K51" s="2" t="n">
        <f aca="false">1-SUMPRODUCT(ABS(Tekstboek!$AH$15:$AU$15-Gebruikt!$AH$9:$AU$9))/14</f>
        <v>0.514285714285714</v>
      </c>
      <c r="L51" s="2" t="n">
        <f aca="false">1-SUMPRODUCT(ABS(Tekstboek!$AH$15:$AU$15-Gebruikt!$AH$10:$AU$10))/14</f>
        <v>0.514285714285714</v>
      </c>
      <c r="M51" s="2" t="n">
        <f aca="false">1-SUMPRODUCT(ABS(Tekstboek!$AH$15:$AU$15-Gebruikt!$AH$11:$AU$11))/14</f>
        <v>0.514285714285714</v>
      </c>
      <c r="N51" s="2" t="n">
        <f aca="false">1-SUMPRODUCT(ABS(Tekstboek!$AH$15:$AU$15-Gebruikt!$AH$12:$AU$12))/14</f>
        <v>0.478571428571429</v>
      </c>
      <c r="O51" s="2" t="n">
        <f aca="false">1-SUMPRODUCT(ABS(Tekstboek!$AH$15:$AU$15-Gebruikt!$AH$13:$AU$13))/14</f>
        <v>0.742857142857143</v>
      </c>
      <c r="P51" s="2" t="n">
        <f aca="false">1-SUMPRODUCT(ABS(Tekstboek!$AH$15:$AU$15-Gebruikt!$AH$14:$AU$14))/14</f>
        <v>0.585714285714286</v>
      </c>
      <c r="Q51" s="2" t="n">
        <f aca="false">1-SUMPRODUCT(ABS(Tekstboek!$AH$15:$AU$15-Gebruikt!$AH$15:$AU$15))/14</f>
        <v>0.657142857142857</v>
      </c>
      <c r="R51" s="2" t="n">
        <f aca="false">1-SUMPRODUCT(ABS(Tekstboek!$AH$15:$AU$15-Gebruikt!$AH$16:$AU$16))/14</f>
        <v>0.657142857142857</v>
      </c>
      <c r="S51" s="2" t="n">
        <f aca="false">1-SUMPRODUCT(ABS(Tekstboek!$AH$15:$AU$15-Gebruikt!$AH$17:$AU$17))/14</f>
        <v>0.55</v>
      </c>
      <c r="T51" s="2" t="n">
        <f aca="false">1-SUMPRODUCT(ABS(Tekstboek!$AH$15:$AU$15-Gebruikt!$AH$18:$AU$18))/14</f>
        <v>0.714285714285714</v>
      </c>
      <c r="U51" s="2" t="n">
        <f aca="false">1-SUMPRODUCT(ABS(Tekstboek!$AH$15:$AU$15-Gebruikt!$AH$19:$AU$19))/14</f>
        <v>0.8</v>
      </c>
      <c r="V51" s="2" t="n">
        <f aca="false">1-SUMPRODUCT(ABS(Tekstboek!$AH$15:$AU$15-Gebruikt!$AH$20:$AU$20))/14</f>
        <v>0.514285714285714</v>
      </c>
      <c r="W51" s="2" t="n">
        <f aca="false">1-SUMPRODUCT(ABS(Tekstboek!$AH$15:$AU$15-Gebruikt!$AH$21:$AU$21))/14</f>
        <v>0.657142857142857</v>
      </c>
      <c r="X51" s="2" t="n">
        <f aca="false">1-SUMPRODUCT(ABS(Tekstboek!$AH$15:$AU$15-Gebruikt!$AH$22:$AU$22))/14</f>
        <v>0.735714285714286</v>
      </c>
      <c r="Y51" s="2" t="n">
        <f aca="false">1-SUMPRODUCT(ABS(Tekstboek!$AH$15:$AU$15-Gebruikt!$AH$23:$AU$23))/14</f>
        <v>0.692857142857143</v>
      </c>
      <c r="Z51" s="2" t="n">
        <f aca="false">1-SUMPRODUCT(ABS(Tekstboek!$AH$15:$AU$15-Gebruikt!$AH$24:$AU$24))/14</f>
        <v>0.692857142857143</v>
      </c>
      <c r="AA51" s="2" t="n">
        <f aca="false">1-SUMPRODUCT(ABS(Tekstboek!$AH$15:$AU$15-Gebruikt!$AH$25:$AU$25))/14</f>
        <v>0.885714285714286</v>
      </c>
      <c r="AB51" s="2" t="n">
        <f aca="false">1-SUMPRODUCT(ABS(Tekstboek!$AH$15:$AU$15-Gebruikt!$AH$26:$AU$26))/14</f>
        <v>0.742857142857143</v>
      </c>
      <c r="AC51" s="2" t="n">
        <f aca="false">1-SUMPRODUCT(ABS(Tekstboek!$AH$15:$AU$15-Gebruikt!$AH$27:$AU$27))/14</f>
        <v>0.814285714285714</v>
      </c>
      <c r="AD51" s="2" t="n">
        <f aca="false">1-SUMPRODUCT(ABS(Tekstboek!$AH$15:$AU$15-Gebruikt!$AH$28:$AU$28))/14</f>
        <v>0.742857142857143</v>
      </c>
      <c r="AE51" s="2" t="n">
        <f aca="false">1-SUMPRODUCT(ABS(Tekstboek!$AH$15:$AU$15-Gebruikt!$AH$29:$AU$29))/14</f>
        <v>0.55</v>
      </c>
      <c r="AF51" s="2" t="n">
        <f aca="false">1-SUMPRODUCT(ABS(Tekstboek!$AH$15:$AU$15-Gebruikt!$AH$30:$AU$30))/14</f>
        <v>0.492857142857143</v>
      </c>
      <c r="AG51" s="2" t="n">
        <f aca="false">1-SUMPRODUCT(ABS(Tekstboek!$AH$15:$AU$15-Gebruikt!$AH$31:$AU$31))/14</f>
        <v>0.785714285714286</v>
      </c>
      <c r="AH51" s="2" t="n">
        <f aca="false">1-SUMPRODUCT(ABS(Tekstboek!$AH$15:$AU$15-Gebruikt!$AH$32:$AU$32))/14</f>
        <v>0.714285714285714</v>
      </c>
      <c r="AI51" s="2" t="n">
        <f aca="false">1-SUMPRODUCT(ABS(Tekstboek!$AH$15:$AU$15-Gebruikt!$AH$33:$AU$33))/14</f>
        <v>0.55</v>
      </c>
      <c r="AJ51" s="2" t="n">
        <f aca="false">1-SUMPRODUCT(ABS(Tekstboek!$AH$15:$AU$15-Gebruikt!$AH$34:$AU$34))/14</f>
        <v>0.657142857142857</v>
      </c>
      <c r="AK51" s="2" t="n">
        <f aca="false">1-SUMPRODUCT(ABS(Tekstboek!$AH$15:$AU$15-Gebruikt!$AH$35:$AU$35))/14</f>
        <v>0.692857142857143</v>
      </c>
      <c r="AL51" s="2" t="n">
        <f aca="false">1-SUMPRODUCT(ABS(Tekstboek!$AH$15:$AU$15-Gebruikt!$AH$36:$AU$36))/14</f>
        <v>0.785714285714286</v>
      </c>
      <c r="AM51" s="2" t="n">
        <f aca="false">1-SUMPRODUCT(ABS(Tekstboek!$AH$15:$AU$15-Gebruikt!$AH$37:$AU$37))/14</f>
        <v>0.642857142857143</v>
      </c>
      <c r="AN51" s="2" t="n">
        <f aca="false">1-SUMPRODUCT(ABS(Tekstboek!$AH$15:$AU$15-Gebruikt!$AH$38:$AU$38))/14</f>
        <v>0.55</v>
      </c>
      <c r="AO51" s="2" t="n">
        <f aca="false">1-SUMPRODUCT(ABS(Tekstboek!$AH$15:$AU$15-Gebruikt!$AH$39:$AU$39))/14</f>
        <v>0.657142857142857</v>
      </c>
      <c r="AP51" s="2" t="n">
        <f aca="false">1-SUMPRODUCT(ABS(Tekstboek!$AH$15:$AU$15-Gebruikt!$AH$40:$AU$40))/14</f>
        <v>0.514285714285714</v>
      </c>
      <c r="AQ51" s="2" t="n">
        <f aca="false">1-SUMPRODUCT(ABS(Tekstboek!$AH$15:$AU$15-Gebruikt!$AH$41:$AU$41))/14</f>
        <v>0.564285714285714</v>
      </c>
      <c r="AR51" s="2" t="n">
        <f aca="false">1-SUMPRODUCT(ABS(Tekstboek!$AH$15:$AU$15-Gebruikt!$AH$42:$AU$42))/14</f>
        <v>0.514285714285714</v>
      </c>
      <c r="AS51" s="2" t="n">
        <f aca="false">1-SUMPRODUCT(ABS(Tekstboek!$AH$15:$AU$15-Gebruikt!$AH$43:$AU$43))/14</f>
        <v>0.55</v>
      </c>
      <c r="AT51" s="2" t="n">
        <f aca="false">1-SUMPRODUCT(ABS(Tekstboek!$AH$15:$AU$15-Gebruikt!$AH$44:$AU$44))/14</f>
        <v>0.692857142857143</v>
      </c>
      <c r="AU51" s="2" t="n">
        <f aca="false">1-SUMPRODUCT(ABS(Tekstboek!$AH$15:$AU$15-Gebruikt!$AH$45:$AU$45))/14</f>
        <v>0.55</v>
      </c>
      <c r="AV51" s="2" t="n">
        <f aca="false">1-SUMPRODUCT(ABS(Tekstboek!$AH$15:$AU$15-Gebruikt!$AH$46:$AU$46))/14</f>
        <v>0.878571428571429</v>
      </c>
      <c r="AW51" s="2" t="n">
        <f aca="false">1-SUMPRODUCT(ABS(Tekstboek!$AH$15:$AU$15-Gebruikt!$AH$47:$AU$47))/14</f>
        <v>0.514285714285714</v>
      </c>
      <c r="AX51" s="2" t="n">
        <f aca="false">1-SUMPRODUCT(ABS(Tekstboek!$AH$15:$AU$15-Gebruikt!$AH$48:$AU$48))/14</f>
        <v>0.55</v>
      </c>
    </row>
    <row r="52" customFormat="false" ht="15" hidden="false" customHeight="false" outlineLevel="0" collapsed="false">
      <c r="A52" s="8" t="str">
        <f aca="false">Tekstboek!A16</f>
        <v>B13</v>
      </c>
      <c r="B52" s="8" t="str">
        <f aca="false">Tekstboek!B16</f>
        <v>[n-bit] Takahashi-Tani-Kunihiro ancilla-free adder</v>
      </c>
      <c r="C52" s="2" t="n">
        <f aca="false">1-D52</f>
        <v>0.185714285714286</v>
      </c>
      <c r="D52" s="2" t="n">
        <f aca="false">MAX(F52:AX52)</f>
        <v>0.814285714285714</v>
      </c>
      <c r="E52" s="2" t="str">
        <f aca="false">INDEX(Gebruikt!$B$4:$B$48,MATCH(D52,F52:AX52,0))</f>
        <v>Karatsuba squaring (recursive, in place)</v>
      </c>
      <c r="F52" s="2" t="n">
        <f aca="false">1-SUMPRODUCT(ABS(Tekstboek!$AH$16:$AU$16-Gebruikt!$AH$4:$AU$4))/14</f>
        <v>0.671428571428572</v>
      </c>
      <c r="G52" s="2" t="n">
        <f aca="false">1-SUMPRODUCT(ABS(Tekstboek!$AH$16:$AU$16-Gebruikt!$AH$5:$AU$5))/14</f>
        <v>0.757142857142857</v>
      </c>
      <c r="H52" s="2" t="n">
        <f aca="false">1-SUMPRODUCT(ABS(Tekstboek!$AH$16:$AU$16-Gebruikt!$AH$6:$AU$6))/14</f>
        <v>0.757142857142857</v>
      </c>
      <c r="I52" s="2" t="n">
        <f aca="false">1-SUMPRODUCT(ABS(Tekstboek!$AH$16:$AU$16-Gebruikt!$AH$7:$AU$7))/14</f>
        <v>0.614285714285714</v>
      </c>
      <c r="J52" s="2" t="n">
        <f aca="false">1-SUMPRODUCT(ABS(Tekstboek!$AH$16:$AU$16-Gebruikt!$AH$8:$AU$8))/14</f>
        <v>0.721428571428571</v>
      </c>
      <c r="K52" s="2" t="n">
        <f aca="false">1-SUMPRODUCT(ABS(Tekstboek!$AH$16:$AU$16-Gebruikt!$AH$9:$AU$9))/14</f>
        <v>0.614285714285714</v>
      </c>
      <c r="L52" s="2" t="n">
        <f aca="false">1-SUMPRODUCT(ABS(Tekstboek!$AH$16:$AU$16-Gebruikt!$AH$10:$AU$10))/14</f>
        <v>0.614285714285714</v>
      </c>
      <c r="M52" s="2" t="n">
        <f aca="false">1-SUMPRODUCT(ABS(Tekstboek!$AH$16:$AU$16-Gebruikt!$AH$11:$AU$11))/14</f>
        <v>0.614285714285714</v>
      </c>
      <c r="N52" s="2" t="n">
        <f aca="false">1-SUMPRODUCT(ABS(Tekstboek!$AH$16:$AU$16-Gebruikt!$AH$12:$AU$12))/14</f>
        <v>0.578571428571429</v>
      </c>
      <c r="O52" s="2" t="n">
        <f aca="false">1-SUMPRODUCT(ABS(Tekstboek!$AH$16:$AU$16-Gebruikt!$AH$13:$AU$13))/14</f>
        <v>0.7</v>
      </c>
      <c r="P52" s="2" t="n">
        <f aca="false">1-SUMPRODUCT(ABS(Tekstboek!$AH$16:$AU$16-Gebruikt!$AH$14:$AU$14))/14</f>
        <v>0.685714285714286</v>
      </c>
      <c r="Q52" s="2" t="n">
        <f aca="false">1-SUMPRODUCT(ABS(Tekstboek!$AH$16:$AU$16-Gebruikt!$AH$15:$AU$15))/14</f>
        <v>0.757142857142857</v>
      </c>
      <c r="R52" s="2" t="n">
        <f aca="false">1-SUMPRODUCT(ABS(Tekstboek!$AH$16:$AU$16-Gebruikt!$AH$16:$AU$16))/14</f>
        <v>0.757142857142857</v>
      </c>
      <c r="S52" s="2" t="n">
        <f aca="false">1-SUMPRODUCT(ABS(Tekstboek!$AH$16:$AU$16-Gebruikt!$AH$17:$AU$17))/14</f>
        <v>0.65</v>
      </c>
      <c r="T52" s="2" t="n">
        <f aca="false">1-SUMPRODUCT(ABS(Tekstboek!$AH$16:$AU$16-Gebruikt!$AH$18:$AU$18))/14</f>
        <v>0.671428571428572</v>
      </c>
      <c r="U52" s="2" t="n">
        <f aca="false">1-SUMPRODUCT(ABS(Tekstboek!$AH$16:$AU$16-Gebruikt!$AH$19:$AU$19))/14</f>
        <v>0.757142857142857</v>
      </c>
      <c r="V52" s="2" t="n">
        <f aca="false">1-SUMPRODUCT(ABS(Tekstboek!$AH$16:$AU$16-Gebruikt!$AH$20:$AU$20))/14</f>
        <v>0.614285714285714</v>
      </c>
      <c r="W52" s="2" t="n">
        <f aca="false">1-SUMPRODUCT(ABS(Tekstboek!$AH$16:$AU$16-Gebruikt!$AH$21:$AU$21))/14</f>
        <v>0.757142857142857</v>
      </c>
      <c r="X52" s="2" t="n">
        <f aca="false">1-SUMPRODUCT(ABS(Tekstboek!$AH$16:$AU$16-Gebruikt!$AH$22:$AU$22))/14</f>
        <v>0.664285714285714</v>
      </c>
      <c r="Y52" s="2" t="n">
        <f aca="false">1-SUMPRODUCT(ABS(Tekstboek!$AH$16:$AU$16-Gebruikt!$AH$23:$AU$23))/14</f>
        <v>0.721428571428571</v>
      </c>
      <c r="Z52" s="2" t="n">
        <f aca="false">1-SUMPRODUCT(ABS(Tekstboek!$AH$16:$AU$16-Gebruikt!$AH$24:$AU$24))/14</f>
        <v>0.721428571428571</v>
      </c>
      <c r="AA52" s="2" t="n">
        <f aca="false">1-SUMPRODUCT(ABS(Tekstboek!$AH$16:$AU$16-Gebruikt!$AH$25:$AU$25))/14</f>
        <v>0.814285714285714</v>
      </c>
      <c r="AB52" s="2" t="n">
        <f aca="false">1-SUMPRODUCT(ABS(Tekstboek!$AH$16:$AU$16-Gebruikt!$AH$26:$AU$26))/14</f>
        <v>0.671428571428572</v>
      </c>
      <c r="AC52" s="2" t="n">
        <f aca="false">1-SUMPRODUCT(ABS(Tekstboek!$AH$16:$AU$16-Gebruikt!$AH$27:$AU$27))/14</f>
        <v>0.771428571428571</v>
      </c>
      <c r="AD52" s="2" t="n">
        <f aca="false">1-SUMPRODUCT(ABS(Tekstboek!$AH$16:$AU$16-Gebruikt!$AH$28:$AU$28))/14</f>
        <v>0.7</v>
      </c>
      <c r="AE52" s="2" t="n">
        <f aca="false">1-SUMPRODUCT(ABS(Tekstboek!$AH$16:$AU$16-Gebruikt!$AH$29:$AU$29))/14</f>
        <v>0.65</v>
      </c>
      <c r="AF52" s="2" t="n">
        <f aca="false">1-SUMPRODUCT(ABS(Tekstboek!$AH$16:$AU$16-Gebruikt!$AH$30:$AU$30))/14</f>
        <v>0.592857142857143</v>
      </c>
      <c r="AG52" s="2" t="n">
        <f aca="false">1-SUMPRODUCT(ABS(Tekstboek!$AH$16:$AU$16-Gebruikt!$AH$31:$AU$31))/14</f>
        <v>0.742857142857143</v>
      </c>
      <c r="AH52" s="2" t="n">
        <f aca="false">1-SUMPRODUCT(ABS(Tekstboek!$AH$16:$AU$16-Gebruikt!$AH$32:$AU$32))/14</f>
        <v>0.671428571428572</v>
      </c>
      <c r="AI52" s="2" t="n">
        <f aca="false">1-SUMPRODUCT(ABS(Tekstboek!$AH$16:$AU$16-Gebruikt!$AH$33:$AU$33))/14</f>
        <v>0.65</v>
      </c>
      <c r="AJ52" s="2" t="n">
        <f aca="false">1-SUMPRODUCT(ABS(Tekstboek!$AH$16:$AU$16-Gebruikt!$AH$34:$AU$34))/14</f>
        <v>0.757142857142857</v>
      </c>
      <c r="AK52" s="2" t="n">
        <f aca="false">1-SUMPRODUCT(ABS(Tekstboek!$AH$16:$AU$16-Gebruikt!$AH$35:$AU$35))/14</f>
        <v>0.721428571428571</v>
      </c>
      <c r="AL52" s="2" t="n">
        <f aca="false">1-SUMPRODUCT(ABS(Tekstboek!$AH$16:$AU$16-Gebruikt!$AH$36:$AU$36))/14</f>
        <v>0.742857142857143</v>
      </c>
      <c r="AM52" s="2" t="n">
        <f aca="false">1-SUMPRODUCT(ABS(Tekstboek!$AH$16:$AU$16-Gebruikt!$AH$37:$AU$37))/14</f>
        <v>0.6</v>
      </c>
      <c r="AN52" s="2" t="n">
        <f aca="false">1-SUMPRODUCT(ABS(Tekstboek!$AH$16:$AU$16-Gebruikt!$AH$38:$AU$38))/14</f>
        <v>0.65</v>
      </c>
      <c r="AO52" s="2" t="n">
        <f aca="false">1-SUMPRODUCT(ABS(Tekstboek!$AH$16:$AU$16-Gebruikt!$AH$39:$AU$39))/14</f>
        <v>0.614285714285714</v>
      </c>
      <c r="AP52" s="2" t="n">
        <f aca="false">1-SUMPRODUCT(ABS(Tekstboek!$AH$16:$AU$16-Gebruikt!$AH$40:$AU$40))/14</f>
        <v>0.614285714285714</v>
      </c>
      <c r="AQ52" s="2" t="n">
        <f aca="false">1-SUMPRODUCT(ABS(Tekstboek!$AH$16:$AU$16-Gebruikt!$AH$41:$AU$41))/14</f>
        <v>0.664285714285714</v>
      </c>
      <c r="AR52" s="2" t="n">
        <f aca="false">1-SUMPRODUCT(ABS(Tekstboek!$AH$16:$AU$16-Gebruikt!$AH$42:$AU$42))/14</f>
        <v>0.614285714285714</v>
      </c>
      <c r="AS52" s="2" t="n">
        <f aca="false">1-SUMPRODUCT(ABS(Tekstboek!$AH$16:$AU$16-Gebruikt!$AH$43:$AU$43))/14</f>
        <v>0.65</v>
      </c>
      <c r="AT52" s="2" t="n">
        <f aca="false">1-SUMPRODUCT(ABS(Tekstboek!$AH$16:$AU$16-Gebruikt!$AH$44:$AU$44))/14</f>
        <v>0.792857142857143</v>
      </c>
      <c r="AU52" s="2" t="n">
        <f aca="false">1-SUMPRODUCT(ABS(Tekstboek!$AH$16:$AU$16-Gebruikt!$AH$45:$AU$45))/14</f>
        <v>0.65</v>
      </c>
      <c r="AV52" s="2" t="n">
        <f aca="false">1-SUMPRODUCT(ABS(Tekstboek!$AH$16:$AU$16-Gebruikt!$AH$46:$AU$46))/14</f>
        <v>0.807142857142857</v>
      </c>
      <c r="AW52" s="2" t="n">
        <f aca="false">1-SUMPRODUCT(ABS(Tekstboek!$AH$16:$AU$16-Gebruikt!$AH$47:$AU$47))/14</f>
        <v>0.614285714285714</v>
      </c>
      <c r="AX52" s="2" t="n">
        <f aca="false">1-SUMPRODUCT(ABS(Tekstboek!$AH$16:$AU$16-Gebruikt!$AH$48:$AU$48))/14</f>
        <v>0.65</v>
      </c>
    </row>
    <row r="53" customFormat="false" ht="15" hidden="false" customHeight="false" outlineLevel="0" collapsed="false">
      <c r="A53" s="8" t="str">
        <f aca="false">Tekstboek!A17</f>
        <v>B14</v>
      </c>
      <c r="B53" s="8" t="str">
        <f aca="false">Tekstboek!B17</f>
        <v>[n-bit] Gidney ripple adder (temporary ANDs)</v>
      </c>
      <c r="C53" s="2" t="n">
        <f aca="false">1-D53</f>
        <v>0.214285714285714</v>
      </c>
      <c r="D53" s="2" t="n">
        <f aca="false">MAX(F53:AX53)</f>
        <v>0.785714285714286</v>
      </c>
      <c r="E53" s="2" t="str">
        <f aca="false">INDEX(Gebruikt!$B$4:$B$48,MATCH(D53,F53:AX53,0))</f>
        <v>Chunked/windowed adders with measured boundary-carry erasure</v>
      </c>
      <c r="F53" s="2" t="n">
        <f aca="false">1-SUMPRODUCT(ABS(Tekstboek!$AH$17:$AU$17-Gebruikt!$AH$4:$AU$4))/14</f>
        <v>0.692857142857143</v>
      </c>
      <c r="G53" s="2" t="n">
        <f aca="false">1-SUMPRODUCT(ABS(Tekstboek!$AH$17:$AU$17-Gebruikt!$AH$5:$AU$5))/14</f>
        <v>0.564285714285714</v>
      </c>
      <c r="H53" s="2" t="n">
        <f aca="false">1-SUMPRODUCT(ABS(Tekstboek!$AH$17:$AU$17-Gebruikt!$AH$6:$AU$6))/14</f>
        <v>0.564285714285714</v>
      </c>
      <c r="I53" s="2" t="n">
        <f aca="false">1-SUMPRODUCT(ABS(Tekstboek!$AH$17:$AU$17-Gebruikt!$AH$7:$AU$7))/14</f>
        <v>0.635714285714286</v>
      </c>
      <c r="J53" s="2" t="n">
        <f aca="false">1-SUMPRODUCT(ABS(Tekstboek!$AH$17:$AU$17-Gebruikt!$AH$8:$AU$8))/14</f>
        <v>0.6</v>
      </c>
      <c r="K53" s="2" t="n">
        <f aca="false">1-SUMPRODUCT(ABS(Tekstboek!$AH$17:$AU$17-Gebruikt!$AH$9:$AU$9))/14</f>
        <v>0.421428571428572</v>
      </c>
      <c r="L53" s="2" t="n">
        <f aca="false">1-SUMPRODUCT(ABS(Tekstboek!$AH$17:$AU$17-Gebruikt!$AH$10:$AU$10))/14</f>
        <v>0.421428571428572</v>
      </c>
      <c r="M53" s="2" t="n">
        <f aca="false">1-SUMPRODUCT(ABS(Tekstboek!$AH$17:$AU$17-Gebruikt!$AH$11:$AU$11))/14</f>
        <v>0.421428571428572</v>
      </c>
      <c r="N53" s="2" t="n">
        <f aca="false">1-SUMPRODUCT(ABS(Tekstboek!$AH$17:$AU$17-Gebruikt!$AH$12:$AU$12))/14</f>
        <v>0.528571428571429</v>
      </c>
      <c r="O53" s="2" t="n">
        <f aca="false">1-SUMPRODUCT(ABS(Tekstboek!$AH$17:$AU$17-Gebruikt!$AH$13:$AU$13))/14</f>
        <v>0.578571428571429</v>
      </c>
      <c r="P53" s="2" t="n">
        <f aca="false">1-SUMPRODUCT(ABS(Tekstboek!$AH$17:$AU$17-Gebruikt!$AH$14:$AU$14))/14</f>
        <v>0.492857142857143</v>
      </c>
      <c r="Q53" s="2" t="n">
        <f aca="false">1-SUMPRODUCT(ABS(Tekstboek!$AH$17:$AU$17-Gebruikt!$AH$15:$AU$15))/14</f>
        <v>0.564285714285714</v>
      </c>
      <c r="R53" s="2" t="n">
        <f aca="false">1-SUMPRODUCT(ABS(Tekstboek!$AH$17:$AU$17-Gebruikt!$AH$16:$AU$16))/14</f>
        <v>0.564285714285714</v>
      </c>
      <c r="S53" s="2" t="n">
        <f aca="false">1-SUMPRODUCT(ABS(Tekstboek!$AH$17:$AU$17-Gebruikt!$AH$17:$AU$17))/14</f>
        <v>0.742857142857143</v>
      </c>
      <c r="T53" s="2" t="n">
        <f aca="false">1-SUMPRODUCT(ABS(Tekstboek!$AH$17:$AU$17-Gebruikt!$AH$18:$AU$18))/14</f>
        <v>0.692857142857143</v>
      </c>
      <c r="U53" s="2" t="n">
        <f aca="false">1-SUMPRODUCT(ABS(Tekstboek!$AH$17:$AU$17-Gebruikt!$AH$19:$AU$19))/14</f>
        <v>0.635714285714286</v>
      </c>
      <c r="V53" s="2" t="n">
        <f aca="false">1-SUMPRODUCT(ABS(Tekstboek!$AH$17:$AU$17-Gebruikt!$AH$20:$AU$20))/14</f>
        <v>0.421428571428572</v>
      </c>
      <c r="W53" s="2" t="n">
        <f aca="false">1-SUMPRODUCT(ABS(Tekstboek!$AH$17:$AU$17-Gebruikt!$AH$21:$AU$21))/14</f>
        <v>0.564285714285714</v>
      </c>
      <c r="X53" s="2" t="n">
        <f aca="false">1-SUMPRODUCT(ABS(Tekstboek!$AH$17:$AU$17-Gebruikt!$AH$22:$AU$22))/14</f>
        <v>0.785714285714286</v>
      </c>
      <c r="Y53" s="2" t="n">
        <f aca="false">1-SUMPRODUCT(ABS(Tekstboek!$AH$17:$AU$17-Gebruikt!$AH$23:$AU$23))/14</f>
        <v>0.6</v>
      </c>
      <c r="Z53" s="2" t="n">
        <f aca="false">1-SUMPRODUCT(ABS(Tekstboek!$AH$17:$AU$17-Gebruikt!$AH$24:$AU$24))/14</f>
        <v>0.6</v>
      </c>
      <c r="AA53" s="2" t="n">
        <f aca="false">1-SUMPRODUCT(ABS(Tekstboek!$AH$17:$AU$17-Gebruikt!$AH$25:$AU$25))/14</f>
        <v>0.721428571428571</v>
      </c>
      <c r="AB53" s="2" t="n">
        <f aca="false">1-SUMPRODUCT(ABS(Tekstboek!$AH$17:$AU$17-Gebruikt!$AH$26:$AU$26))/14</f>
        <v>0.721428571428571</v>
      </c>
      <c r="AC53" s="2" t="n">
        <f aca="false">1-SUMPRODUCT(ABS(Tekstboek!$AH$17:$AU$17-Gebruikt!$AH$27:$AU$27))/14</f>
        <v>0.65</v>
      </c>
      <c r="AD53" s="2" t="n">
        <f aca="false">1-SUMPRODUCT(ABS(Tekstboek!$AH$17:$AU$17-Gebruikt!$AH$28:$AU$28))/14</f>
        <v>0.578571428571429</v>
      </c>
      <c r="AE53" s="2" t="n">
        <f aca="false">1-SUMPRODUCT(ABS(Tekstboek!$AH$17:$AU$17-Gebruikt!$AH$29:$AU$29))/14</f>
        <v>0.742857142857143</v>
      </c>
      <c r="AF53" s="2" t="n">
        <f aca="false">1-SUMPRODUCT(ABS(Tekstboek!$AH$17:$AU$17-Gebruikt!$AH$30:$AU$30))/14</f>
        <v>0.685714285714286</v>
      </c>
      <c r="AG53" s="2" t="n">
        <f aca="false">1-SUMPRODUCT(ABS(Tekstboek!$AH$17:$AU$17-Gebruikt!$AH$31:$AU$31))/14</f>
        <v>0.621428571428571</v>
      </c>
      <c r="AH53" s="2" t="n">
        <f aca="false">1-SUMPRODUCT(ABS(Tekstboek!$AH$17:$AU$17-Gebruikt!$AH$32:$AU$32))/14</f>
        <v>0.692857142857143</v>
      </c>
      <c r="AI53" s="2" t="n">
        <f aca="false">1-SUMPRODUCT(ABS(Tekstboek!$AH$17:$AU$17-Gebruikt!$AH$33:$AU$33))/14</f>
        <v>0.6</v>
      </c>
      <c r="AJ53" s="2" t="n">
        <f aca="false">1-SUMPRODUCT(ABS(Tekstboek!$AH$17:$AU$17-Gebruikt!$AH$34:$AU$34))/14</f>
        <v>0.564285714285714</v>
      </c>
      <c r="AK53" s="2" t="n">
        <f aca="false">1-SUMPRODUCT(ABS(Tekstboek!$AH$17:$AU$17-Gebruikt!$AH$35:$AU$35))/14</f>
        <v>0.6</v>
      </c>
      <c r="AL53" s="2" t="n">
        <f aca="false">1-SUMPRODUCT(ABS(Tekstboek!$AH$17:$AU$17-Gebruikt!$AH$36:$AU$36))/14</f>
        <v>0.621428571428571</v>
      </c>
      <c r="AM53" s="2" t="n">
        <f aca="false">1-SUMPRODUCT(ABS(Tekstboek!$AH$17:$AU$17-Gebruikt!$AH$37:$AU$37))/14</f>
        <v>0.621428571428571</v>
      </c>
      <c r="AN53" s="2" t="n">
        <f aca="false">1-SUMPRODUCT(ABS(Tekstboek!$AH$17:$AU$17-Gebruikt!$AH$38:$AU$38))/14</f>
        <v>0.742857142857143</v>
      </c>
      <c r="AO53" s="2" t="n">
        <f aca="false">1-SUMPRODUCT(ABS(Tekstboek!$AH$17:$AU$17-Gebruikt!$AH$39:$AU$39))/14</f>
        <v>0.635714285714286</v>
      </c>
      <c r="AP53" s="2" t="n">
        <f aca="false">1-SUMPRODUCT(ABS(Tekstboek!$AH$17:$AU$17-Gebruikt!$AH$40:$AU$40))/14</f>
        <v>0.421428571428572</v>
      </c>
      <c r="AQ53" s="2" t="n">
        <f aca="false">1-SUMPRODUCT(ABS(Tekstboek!$AH$17:$AU$17-Gebruikt!$AH$41:$AU$41))/14</f>
        <v>0.614285714285714</v>
      </c>
      <c r="AR53" s="2" t="n">
        <f aca="false">1-SUMPRODUCT(ABS(Tekstboek!$AH$17:$AU$17-Gebruikt!$AH$42:$AU$42))/14</f>
        <v>0.421428571428572</v>
      </c>
      <c r="AS53" s="2" t="n">
        <f aca="false">1-SUMPRODUCT(ABS(Tekstboek!$AH$17:$AU$17-Gebruikt!$AH$43:$AU$43))/14</f>
        <v>0.6</v>
      </c>
      <c r="AT53" s="2" t="n">
        <f aca="false">1-SUMPRODUCT(ABS(Tekstboek!$AH$17:$AU$17-Gebruikt!$AH$44:$AU$44))/14</f>
        <v>0.6</v>
      </c>
      <c r="AU53" s="2" t="n">
        <f aca="false">1-SUMPRODUCT(ABS(Tekstboek!$AH$17:$AU$17-Gebruikt!$AH$45:$AU$45))/14</f>
        <v>0.6</v>
      </c>
      <c r="AV53" s="2" t="n">
        <f aca="false">1-SUMPRODUCT(ABS(Tekstboek!$AH$17:$AU$17-Gebruikt!$AH$46:$AU$46))/14</f>
        <v>0.785714285714286</v>
      </c>
      <c r="AW53" s="2" t="n">
        <f aca="false">1-SUMPRODUCT(ABS(Tekstboek!$AH$17:$AU$17-Gebruikt!$AH$47:$AU$47))/14</f>
        <v>0.421428571428572</v>
      </c>
      <c r="AX53" s="2" t="n">
        <f aca="false">1-SUMPRODUCT(ABS(Tekstboek!$AH$17:$AU$17-Gebruikt!$AH$48:$AU$48))/14</f>
        <v>0.742857142857143</v>
      </c>
    </row>
    <row r="54" customFormat="false" ht="15" hidden="false" customHeight="false" outlineLevel="0" collapsed="false">
      <c r="A54" s="8" t="str">
        <f aca="false">Tekstboek!A18</f>
        <v>B15</v>
      </c>
      <c r="B54" s="8" t="str">
        <f aca="false">Tekstboek!B18</f>
        <v>[n-bit] Chunked ripple adder (block carry save/restore)</v>
      </c>
      <c r="C54" s="2" t="n">
        <f aca="false">1-D54</f>
        <v>0.228571428571429</v>
      </c>
      <c r="D54" s="2" t="n">
        <f aca="false">MAX(F54:AX54)</f>
        <v>0.771428571428571</v>
      </c>
      <c r="E54" s="2" t="str">
        <f aca="false">INDEX(Gebruikt!$B$4:$B$48,MATCH(D54,F54:AX54,0))</f>
        <v>Measurement-based uncomputation (Gidney HMR + classically-controlled CZ)</v>
      </c>
      <c r="F54" s="2" t="n">
        <f aca="false">1-SUMPRODUCT(ABS(Tekstboek!$AH$18:$AU$18-Gebruikt!$AH$4:$AU$4))/14</f>
        <v>0.721428571428571</v>
      </c>
      <c r="G54" s="2" t="n">
        <f aca="false">1-SUMPRODUCT(ABS(Tekstboek!$AH$18:$AU$18-Gebruikt!$AH$5:$AU$5))/14</f>
        <v>0.592857142857143</v>
      </c>
      <c r="H54" s="2" t="n">
        <f aca="false">1-SUMPRODUCT(ABS(Tekstboek!$AH$18:$AU$18-Gebruikt!$AH$6:$AU$6))/14</f>
        <v>0.592857142857143</v>
      </c>
      <c r="I54" s="2" t="n">
        <f aca="false">1-SUMPRODUCT(ABS(Tekstboek!$AH$18:$AU$18-Gebruikt!$AH$7:$AU$7))/14</f>
        <v>0.664285714285714</v>
      </c>
      <c r="J54" s="2" t="n">
        <f aca="false">1-SUMPRODUCT(ABS(Tekstboek!$AH$18:$AU$18-Gebruikt!$AH$8:$AU$8))/14</f>
        <v>0.628571428571429</v>
      </c>
      <c r="K54" s="2" t="n">
        <f aca="false">1-SUMPRODUCT(ABS(Tekstboek!$AH$18:$AU$18-Gebruikt!$AH$9:$AU$9))/14</f>
        <v>0.421428571428572</v>
      </c>
      <c r="L54" s="2" t="n">
        <f aca="false">1-SUMPRODUCT(ABS(Tekstboek!$AH$18:$AU$18-Gebruikt!$AH$10:$AU$10))/14</f>
        <v>0.421428571428572</v>
      </c>
      <c r="M54" s="2" t="n">
        <f aca="false">1-SUMPRODUCT(ABS(Tekstboek!$AH$18:$AU$18-Gebruikt!$AH$11:$AU$11))/14</f>
        <v>0.421428571428572</v>
      </c>
      <c r="N54" s="2" t="n">
        <f aca="false">1-SUMPRODUCT(ABS(Tekstboek!$AH$18:$AU$18-Gebruikt!$AH$12:$AU$12))/14</f>
        <v>0.528571428571429</v>
      </c>
      <c r="O54" s="2" t="n">
        <f aca="false">1-SUMPRODUCT(ABS(Tekstboek!$AH$18:$AU$18-Gebruikt!$AH$13:$AU$13))/14</f>
        <v>0.607142857142857</v>
      </c>
      <c r="P54" s="2" t="n">
        <f aca="false">1-SUMPRODUCT(ABS(Tekstboek!$AH$18:$AU$18-Gebruikt!$AH$14:$AU$14))/14</f>
        <v>0.492857142857143</v>
      </c>
      <c r="Q54" s="2" t="n">
        <f aca="false">1-SUMPRODUCT(ABS(Tekstboek!$AH$18:$AU$18-Gebruikt!$AH$15:$AU$15))/14</f>
        <v>0.564285714285714</v>
      </c>
      <c r="R54" s="2" t="n">
        <f aca="false">1-SUMPRODUCT(ABS(Tekstboek!$AH$18:$AU$18-Gebruikt!$AH$16:$AU$16))/14</f>
        <v>0.564285714285714</v>
      </c>
      <c r="S54" s="2" t="n">
        <f aca="false">1-SUMPRODUCT(ABS(Tekstboek!$AH$18:$AU$18-Gebruikt!$AH$17:$AU$17))/14</f>
        <v>0.771428571428571</v>
      </c>
      <c r="T54" s="2" t="n">
        <f aca="false">1-SUMPRODUCT(ABS(Tekstboek!$AH$18:$AU$18-Gebruikt!$AH$18:$AU$18))/14</f>
        <v>0.721428571428571</v>
      </c>
      <c r="U54" s="2" t="n">
        <f aca="false">1-SUMPRODUCT(ABS(Tekstboek!$AH$18:$AU$18-Gebruikt!$AH$19:$AU$19))/14</f>
        <v>0.664285714285714</v>
      </c>
      <c r="V54" s="2" t="n">
        <f aca="false">1-SUMPRODUCT(ABS(Tekstboek!$AH$18:$AU$18-Gebruikt!$AH$20:$AU$20))/14</f>
        <v>0.421428571428572</v>
      </c>
      <c r="W54" s="2" t="n">
        <f aca="false">1-SUMPRODUCT(ABS(Tekstboek!$AH$18:$AU$18-Gebruikt!$AH$21:$AU$21))/14</f>
        <v>0.592857142857143</v>
      </c>
      <c r="X54" s="2" t="n">
        <f aca="false">1-SUMPRODUCT(ABS(Tekstboek!$AH$18:$AU$18-Gebruikt!$AH$22:$AU$22))/14</f>
        <v>0.757142857142857</v>
      </c>
      <c r="Y54" s="2" t="n">
        <f aca="false">1-SUMPRODUCT(ABS(Tekstboek!$AH$18:$AU$18-Gebruikt!$AH$23:$AU$23))/14</f>
        <v>0.628571428571429</v>
      </c>
      <c r="Z54" s="2" t="n">
        <f aca="false">1-SUMPRODUCT(ABS(Tekstboek!$AH$18:$AU$18-Gebruikt!$AH$24:$AU$24))/14</f>
        <v>0.628571428571429</v>
      </c>
      <c r="AA54" s="2" t="n">
        <f aca="false">1-SUMPRODUCT(ABS(Tekstboek!$AH$18:$AU$18-Gebruikt!$AH$25:$AU$25))/14</f>
        <v>0.721428571428571</v>
      </c>
      <c r="AB54" s="2" t="n">
        <f aca="false">1-SUMPRODUCT(ABS(Tekstboek!$AH$18:$AU$18-Gebruikt!$AH$26:$AU$26))/14</f>
        <v>0.721428571428571</v>
      </c>
      <c r="AC54" s="2" t="n">
        <f aca="false">1-SUMPRODUCT(ABS(Tekstboek!$AH$18:$AU$18-Gebruikt!$AH$27:$AU$27))/14</f>
        <v>0.678571428571429</v>
      </c>
      <c r="AD54" s="2" t="n">
        <f aca="false">1-SUMPRODUCT(ABS(Tekstboek!$AH$18:$AU$18-Gebruikt!$AH$28:$AU$28))/14</f>
        <v>0.607142857142857</v>
      </c>
      <c r="AE54" s="2" t="n">
        <f aca="false">1-SUMPRODUCT(ABS(Tekstboek!$AH$18:$AU$18-Gebruikt!$AH$29:$AU$29))/14</f>
        <v>0.771428571428571</v>
      </c>
      <c r="AF54" s="2" t="n">
        <f aca="false">1-SUMPRODUCT(ABS(Tekstboek!$AH$18:$AU$18-Gebruikt!$AH$30:$AU$30))/14</f>
        <v>0.685714285714286</v>
      </c>
      <c r="AG54" s="2" t="n">
        <f aca="false">1-SUMPRODUCT(ABS(Tekstboek!$AH$18:$AU$18-Gebruikt!$AH$31:$AU$31))/14</f>
        <v>0.65</v>
      </c>
      <c r="AH54" s="2" t="n">
        <f aca="false">1-SUMPRODUCT(ABS(Tekstboek!$AH$18:$AU$18-Gebruikt!$AH$32:$AU$32))/14</f>
        <v>0.721428571428571</v>
      </c>
      <c r="AI54" s="2" t="n">
        <f aca="false">1-SUMPRODUCT(ABS(Tekstboek!$AH$18:$AU$18-Gebruikt!$AH$33:$AU$33))/14</f>
        <v>0.628571428571429</v>
      </c>
      <c r="AJ54" s="2" t="n">
        <f aca="false">1-SUMPRODUCT(ABS(Tekstboek!$AH$18:$AU$18-Gebruikt!$AH$34:$AU$34))/14</f>
        <v>0.592857142857143</v>
      </c>
      <c r="AK54" s="2" t="n">
        <f aca="false">1-SUMPRODUCT(ABS(Tekstboek!$AH$18:$AU$18-Gebruikt!$AH$35:$AU$35))/14</f>
        <v>0.628571428571429</v>
      </c>
      <c r="AL54" s="2" t="n">
        <f aca="false">1-SUMPRODUCT(ABS(Tekstboek!$AH$18:$AU$18-Gebruikt!$AH$36:$AU$36))/14</f>
        <v>0.65</v>
      </c>
      <c r="AM54" s="2" t="n">
        <f aca="false">1-SUMPRODUCT(ABS(Tekstboek!$AH$18:$AU$18-Gebruikt!$AH$37:$AU$37))/14</f>
        <v>0.65</v>
      </c>
      <c r="AN54" s="2" t="n">
        <f aca="false">1-SUMPRODUCT(ABS(Tekstboek!$AH$18:$AU$18-Gebruikt!$AH$38:$AU$38))/14</f>
        <v>0.771428571428571</v>
      </c>
      <c r="AO54" s="2" t="n">
        <f aca="false">1-SUMPRODUCT(ABS(Tekstboek!$AH$18:$AU$18-Gebruikt!$AH$39:$AU$39))/14</f>
        <v>0.664285714285714</v>
      </c>
      <c r="AP54" s="2" t="n">
        <f aca="false">1-SUMPRODUCT(ABS(Tekstboek!$AH$18:$AU$18-Gebruikt!$AH$40:$AU$40))/14</f>
        <v>0.421428571428572</v>
      </c>
      <c r="AQ54" s="2" t="n">
        <f aca="false">1-SUMPRODUCT(ABS(Tekstboek!$AH$18:$AU$18-Gebruikt!$AH$41:$AU$41))/14</f>
        <v>0.614285714285714</v>
      </c>
      <c r="AR54" s="2" t="n">
        <f aca="false">1-SUMPRODUCT(ABS(Tekstboek!$AH$18:$AU$18-Gebruikt!$AH$42:$AU$42))/14</f>
        <v>0.421428571428572</v>
      </c>
      <c r="AS54" s="2" t="n">
        <f aca="false">1-SUMPRODUCT(ABS(Tekstboek!$AH$18:$AU$18-Gebruikt!$AH$43:$AU$43))/14</f>
        <v>0.628571428571429</v>
      </c>
      <c r="AT54" s="2" t="n">
        <f aca="false">1-SUMPRODUCT(ABS(Tekstboek!$AH$18:$AU$18-Gebruikt!$AH$44:$AU$44))/14</f>
        <v>0.628571428571429</v>
      </c>
      <c r="AU54" s="2" t="n">
        <f aca="false">1-SUMPRODUCT(ABS(Tekstboek!$AH$18:$AU$18-Gebruikt!$AH$45:$AU$45))/14</f>
        <v>0.628571428571429</v>
      </c>
      <c r="AV54" s="2" t="n">
        <f aca="false">1-SUMPRODUCT(ABS(Tekstboek!$AH$18:$AU$18-Gebruikt!$AH$46:$AU$46))/14</f>
        <v>0.757142857142857</v>
      </c>
      <c r="AW54" s="2" t="n">
        <f aca="false">1-SUMPRODUCT(ABS(Tekstboek!$AH$18:$AU$18-Gebruikt!$AH$47:$AU$47))/14</f>
        <v>0.421428571428572</v>
      </c>
      <c r="AX54" s="2" t="n">
        <f aca="false">1-SUMPRODUCT(ABS(Tekstboek!$AH$18:$AU$18-Gebruikt!$AH$48:$AU$48))/14</f>
        <v>0.771428571428571</v>
      </c>
    </row>
    <row r="55" customFormat="false" ht="15" hidden="false" customHeight="false" outlineLevel="0" collapsed="false">
      <c r="A55" s="8" t="str">
        <f aca="false">Tekstboek!A19</f>
        <v>B16</v>
      </c>
      <c r="B55" s="8" t="str">
        <f aca="false">Tekstboek!B19</f>
        <v>[n-bit] Carry-lookahead adder</v>
      </c>
      <c r="C55" s="2" t="n">
        <f aca="false">1-D55</f>
        <v>0.1</v>
      </c>
      <c r="D55" s="2" t="n">
        <f aca="false">MAX(F55:AX55)</f>
        <v>0.9</v>
      </c>
      <c r="E55" s="2" t="str">
        <f aca="false">INDEX(Gebruikt!$B$4:$B$48,MATCH(D55,F55:AX55,0))</f>
        <v>Karatsuba squaring (recursive, in place)</v>
      </c>
      <c r="F55" s="2" t="n">
        <f aca="false">1-SUMPRODUCT(ABS(Tekstboek!$AH$19:$AU$19-Gebruikt!$AH$4:$AU$4))/14</f>
        <v>0.728571428571429</v>
      </c>
      <c r="G55" s="2" t="n">
        <f aca="false">1-SUMPRODUCT(ABS(Tekstboek!$AH$19:$AU$19-Gebruikt!$AH$5:$AU$5))/14</f>
        <v>0.671428571428572</v>
      </c>
      <c r="H55" s="2" t="n">
        <f aca="false">1-SUMPRODUCT(ABS(Tekstboek!$AH$19:$AU$19-Gebruikt!$AH$6:$AU$6))/14</f>
        <v>0.671428571428572</v>
      </c>
      <c r="I55" s="2" t="n">
        <f aca="false">1-SUMPRODUCT(ABS(Tekstboek!$AH$19:$AU$19-Gebruikt!$AH$7:$AU$7))/14</f>
        <v>0.6</v>
      </c>
      <c r="J55" s="2" t="n">
        <f aca="false">1-SUMPRODUCT(ABS(Tekstboek!$AH$19:$AU$19-Gebruikt!$AH$8:$AU$8))/14</f>
        <v>0.707142857142857</v>
      </c>
      <c r="K55" s="2" t="n">
        <f aca="false">1-SUMPRODUCT(ABS(Tekstboek!$AH$19:$AU$19-Gebruikt!$AH$9:$AU$9))/14</f>
        <v>0.528571428571429</v>
      </c>
      <c r="L55" s="2" t="n">
        <f aca="false">1-SUMPRODUCT(ABS(Tekstboek!$AH$19:$AU$19-Gebruikt!$AH$10:$AU$10))/14</f>
        <v>0.528571428571429</v>
      </c>
      <c r="M55" s="2" t="n">
        <f aca="false">1-SUMPRODUCT(ABS(Tekstboek!$AH$19:$AU$19-Gebruikt!$AH$11:$AU$11))/14</f>
        <v>0.528571428571429</v>
      </c>
      <c r="N55" s="2" t="n">
        <f aca="false">1-SUMPRODUCT(ABS(Tekstboek!$AH$19:$AU$19-Gebruikt!$AH$12:$AU$12))/14</f>
        <v>0.492857142857143</v>
      </c>
      <c r="O55" s="2" t="n">
        <f aca="false">1-SUMPRODUCT(ABS(Tekstboek!$AH$19:$AU$19-Gebruikt!$AH$13:$AU$13))/14</f>
        <v>0.757142857142857</v>
      </c>
      <c r="P55" s="2" t="n">
        <f aca="false">1-SUMPRODUCT(ABS(Tekstboek!$AH$19:$AU$19-Gebruikt!$AH$14:$AU$14))/14</f>
        <v>0.6</v>
      </c>
      <c r="Q55" s="2" t="n">
        <f aca="false">1-SUMPRODUCT(ABS(Tekstboek!$AH$19:$AU$19-Gebruikt!$AH$15:$AU$15))/14</f>
        <v>0.671428571428572</v>
      </c>
      <c r="R55" s="2" t="n">
        <f aca="false">1-SUMPRODUCT(ABS(Tekstboek!$AH$19:$AU$19-Gebruikt!$AH$16:$AU$16))/14</f>
        <v>0.671428571428572</v>
      </c>
      <c r="S55" s="2" t="n">
        <f aca="false">1-SUMPRODUCT(ABS(Tekstboek!$AH$19:$AU$19-Gebruikt!$AH$17:$AU$17))/14</f>
        <v>0.592857142857143</v>
      </c>
      <c r="T55" s="2" t="n">
        <f aca="false">1-SUMPRODUCT(ABS(Tekstboek!$AH$19:$AU$19-Gebruikt!$AH$18:$AU$18))/14</f>
        <v>0.728571428571429</v>
      </c>
      <c r="U55" s="2" t="n">
        <f aca="false">1-SUMPRODUCT(ABS(Tekstboek!$AH$19:$AU$19-Gebruikt!$AH$19:$AU$19))/14</f>
        <v>0.814285714285714</v>
      </c>
      <c r="V55" s="2" t="n">
        <f aca="false">1-SUMPRODUCT(ABS(Tekstboek!$AH$19:$AU$19-Gebruikt!$AH$20:$AU$20))/14</f>
        <v>0.528571428571429</v>
      </c>
      <c r="W55" s="2" t="n">
        <f aca="false">1-SUMPRODUCT(ABS(Tekstboek!$AH$19:$AU$19-Gebruikt!$AH$21:$AU$21))/14</f>
        <v>0.671428571428572</v>
      </c>
      <c r="X55" s="2" t="n">
        <f aca="false">1-SUMPRODUCT(ABS(Tekstboek!$AH$19:$AU$19-Gebruikt!$AH$22:$AU$22))/14</f>
        <v>0.721428571428571</v>
      </c>
      <c r="Y55" s="2" t="n">
        <f aca="false">1-SUMPRODUCT(ABS(Tekstboek!$AH$19:$AU$19-Gebruikt!$AH$23:$AU$23))/14</f>
        <v>0.707142857142857</v>
      </c>
      <c r="Z55" s="2" t="n">
        <f aca="false">1-SUMPRODUCT(ABS(Tekstboek!$AH$19:$AU$19-Gebruikt!$AH$24:$AU$24))/14</f>
        <v>0.707142857142857</v>
      </c>
      <c r="AA55" s="2" t="n">
        <f aca="false">1-SUMPRODUCT(ABS(Tekstboek!$AH$19:$AU$19-Gebruikt!$AH$25:$AU$25))/14</f>
        <v>0.9</v>
      </c>
      <c r="AB55" s="2" t="n">
        <f aca="false">1-SUMPRODUCT(ABS(Tekstboek!$AH$19:$AU$19-Gebruikt!$AH$26:$AU$26))/14</f>
        <v>0.757142857142857</v>
      </c>
      <c r="AC55" s="2" t="n">
        <f aca="false">1-SUMPRODUCT(ABS(Tekstboek!$AH$19:$AU$19-Gebruikt!$AH$27:$AU$27))/14</f>
        <v>0.828571428571429</v>
      </c>
      <c r="AD55" s="2" t="n">
        <f aca="false">1-SUMPRODUCT(ABS(Tekstboek!$AH$19:$AU$19-Gebruikt!$AH$28:$AU$28))/14</f>
        <v>0.757142857142857</v>
      </c>
      <c r="AE55" s="2" t="n">
        <f aca="false">1-SUMPRODUCT(ABS(Tekstboek!$AH$19:$AU$19-Gebruikt!$AH$29:$AU$29))/14</f>
        <v>0.564285714285714</v>
      </c>
      <c r="AF55" s="2" t="n">
        <f aca="false">1-SUMPRODUCT(ABS(Tekstboek!$AH$19:$AU$19-Gebruikt!$AH$30:$AU$30))/14</f>
        <v>0.507142857142857</v>
      </c>
      <c r="AG55" s="2" t="n">
        <f aca="false">1-SUMPRODUCT(ABS(Tekstboek!$AH$19:$AU$19-Gebruikt!$AH$31:$AU$31))/14</f>
        <v>0.8</v>
      </c>
      <c r="AH55" s="2" t="n">
        <f aca="false">1-SUMPRODUCT(ABS(Tekstboek!$AH$19:$AU$19-Gebruikt!$AH$32:$AU$32))/14</f>
        <v>0.728571428571429</v>
      </c>
      <c r="AI55" s="2" t="n">
        <f aca="false">1-SUMPRODUCT(ABS(Tekstboek!$AH$19:$AU$19-Gebruikt!$AH$33:$AU$33))/14</f>
        <v>0.564285714285714</v>
      </c>
      <c r="AJ55" s="2" t="n">
        <f aca="false">1-SUMPRODUCT(ABS(Tekstboek!$AH$19:$AU$19-Gebruikt!$AH$34:$AU$34))/14</f>
        <v>0.671428571428572</v>
      </c>
      <c r="AK55" s="2" t="n">
        <f aca="false">1-SUMPRODUCT(ABS(Tekstboek!$AH$19:$AU$19-Gebruikt!$AH$35:$AU$35))/14</f>
        <v>0.707142857142857</v>
      </c>
      <c r="AL55" s="2" t="n">
        <f aca="false">1-SUMPRODUCT(ABS(Tekstboek!$AH$19:$AU$19-Gebruikt!$AH$36:$AU$36))/14</f>
        <v>0.8</v>
      </c>
      <c r="AM55" s="2" t="n">
        <f aca="false">1-SUMPRODUCT(ABS(Tekstboek!$AH$19:$AU$19-Gebruikt!$AH$37:$AU$37))/14</f>
        <v>0.657142857142857</v>
      </c>
      <c r="AN55" s="2" t="n">
        <f aca="false">1-SUMPRODUCT(ABS(Tekstboek!$AH$19:$AU$19-Gebruikt!$AH$38:$AU$38))/14</f>
        <v>0.564285714285714</v>
      </c>
      <c r="AO55" s="2" t="n">
        <f aca="false">1-SUMPRODUCT(ABS(Tekstboek!$AH$19:$AU$19-Gebruikt!$AH$39:$AU$39))/14</f>
        <v>0.671428571428572</v>
      </c>
      <c r="AP55" s="2" t="n">
        <f aca="false">1-SUMPRODUCT(ABS(Tekstboek!$AH$19:$AU$19-Gebruikt!$AH$40:$AU$40))/14</f>
        <v>0.528571428571429</v>
      </c>
      <c r="AQ55" s="2" t="n">
        <f aca="false">1-SUMPRODUCT(ABS(Tekstboek!$AH$19:$AU$19-Gebruikt!$AH$41:$AU$41))/14</f>
        <v>0.578571428571429</v>
      </c>
      <c r="AR55" s="2" t="n">
        <f aca="false">1-SUMPRODUCT(ABS(Tekstboek!$AH$19:$AU$19-Gebruikt!$AH$42:$AU$42))/14</f>
        <v>0.528571428571429</v>
      </c>
      <c r="AS55" s="2" t="n">
        <f aca="false">1-SUMPRODUCT(ABS(Tekstboek!$AH$19:$AU$19-Gebruikt!$AH$43:$AU$43))/14</f>
        <v>0.592857142857143</v>
      </c>
      <c r="AT55" s="2" t="n">
        <f aca="false">1-SUMPRODUCT(ABS(Tekstboek!$AH$19:$AU$19-Gebruikt!$AH$44:$AU$44))/14</f>
        <v>0.735714285714286</v>
      </c>
      <c r="AU55" s="2" t="n">
        <f aca="false">1-SUMPRODUCT(ABS(Tekstboek!$AH$19:$AU$19-Gebruikt!$AH$45:$AU$45))/14</f>
        <v>0.592857142857143</v>
      </c>
      <c r="AV55" s="2" t="n">
        <f aca="false">1-SUMPRODUCT(ABS(Tekstboek!$AH$19:$AU$19-Gebruikt!$AH$46:$AU$46))/14</f>
        <v>0.864285714285714</v>
      </c>
      <c r="AW55" s="2" t="n">
        <f aca="false">1-SUMPRODUCT(ABS(Tekstboek!$AH$19:$AU$19-Gebruikt!$AH$47:$AU$47))/14</f>
        <v>0.528571428571429</v>
      </c>
      <c r="AX55" s="2" t="n">
        <f aca="false">1-SUMPRODUCT(ABS(Tekstboek!$AH$19:$AU$19-Gebruikt!$AH$48:$AU$48))/14</f>
        <v>0.592857142857143</v>
      </c>
    </row>
    <row r="56" customFormat="false" ht="15" hidden="false" customHeight="false" outlineLevel="0" collapsed="false">
      <c r="A56" s="8" t="str">
        <f aca="false">Tekstboek!A20</f>
        <v>B17</v>
      </c>
      <c r="B56" s="8" t="str">
        <f aca="false">Tekstboek!B20</f>
        <v>[n-bit] Sign-controlled add/subtract (XOR sign into operand)</v>
      </c>
      <c r="C56" s="2" t="n">
        <f aca="false">1-D56</f>
        <v>0.2</v>
      </c>
      <c r="D56" s="2" t="n">
        <f aca="false">MAX(F56:AX56)</f>
        <v>0.8</v>
      </c>
      <c r="E56" s="2" t="str">
        <f aca="false">INDEX(Gebruikt!$B$4:$B$48,MATCH(D56,F56:AX56,0))</f>
        <v>Karatsuba squaring (recursive, in place)</v>
      </c>
      <c r="F56" s="2" t="n">
        <f aca="false">1-SUMPRODUCT(ABS(Tekstboek!$AH$20:$AU$20-Gebruikt!$AH$4:$AU$4))/14</f>
        <v>0.628571428571429</v>
      </c>
      <c r="G56" s="2" t="n">
        <f aca="false">1-SUMPRODUCT(ABS(Tekstboek!$AH$20:$AU$20-Gebruikt!$AH$5:$AU$5))/14</f>
        <v>0.714285714285714</v>
      </c>
      <c r="H56" s="2" t="n">
        <f aca="false">1-SUMPRODUCT(ABS(Tekstboek!$AH$20:$AU$20-Gebruikt!$AH$6:$AU$6))/14</f>
        <v>0.714285714285714</v>
      </c>
      <c r="I56" s="2" t="n">
        <f aca="false">1-SUMPRODUCT(ABS(Tekstboek!$AH$20:$AU$20-Gebruikt!$AH$7:$AU$7))/14</f>
        <v>0.571428571428571</v>
      </c>
      <c r="J56" s="2" t="n">
        <f aca="false">1-SUMPRODUCT(ABS(Tekstboek!$AH$20:$AU$20-Gebruikt!$AH$8:$AU$8))/14</f>
        <v>0.678571428571429</v>
      </c>
      <c r="K56" s="2" t="n">
        <f aca="false">1-SUMPRODUCT(ABS(Tekstboek!$AH$20:$AU$20-Gebruikt!$AH$9:$AU$9))/14</f>
        <v>0.6</v>
      </c>
      <c r="L56" s="2" t="n">
        <f aca="false">1-SUMPRODUCT(ABS(Tekstboek!$AH$20:$AU$20-Gebruikt!$AH$10:$AU$10))/14</f>
        <v>0.6</v>
      </c>
      <c r="M56" s="2" t="n">
        <f aca="false">1-SUMPRODUCT(ABS(Tekstboek!$AH$20:$AU$20-Gebruikt!$AH$11:$AU$11))/14</f>
        <v>0.6</v>
      </c>
      <c r="N56" s="2" t="n">
        <f aca="false">1-SUMPRODUCT(ABS(Tekstboek!$AH$20:$AU$20-Gebruikt!$AH$12:$AU$12))/14</f>
        <v>0.564285714285714</v>
      </c>
      <c r="O56" s="2" t="n">
        <f aca="false">1-SUMPRODUCT(ABS(Tekstboek!$AH$20:$AU$20-Gebruikt!$AH$13:$AU$13))/14</f>
        <v>0.657142857142857</v>
      </c>
      <c r="P56" s="2" t="n">
        <f aca="false">1-SUMPRODUCT(ABS(Tekstboek!$AH$20:$AU$20-Gebruikt!$AH$14:$AU$14))/14</f>
        <v>0.671428571428572</v>
      </c>
      <c r="Q56" s="2" t="n">
        <f aca="false">1-SUMPRODUCT(ABS(Tekstboek!$AH$20:$AU$20-Gebruikt!$AH$15:$AU$15))/14</f>
        <v>0.742857142857143</v>
      </c>
      <c r="R56" s="2" t="n">
        <f aca="false">1-SUMPRODUCT(ABS(Tekstboek!$AH$20:$AU$20-Gebruikt!$AH$16:$AU$16))/14</f>
        <v>0.742857142857143</v>
      </c>
      <c r="S56" s="2" t="n">
        <f aca="false">1-SUMPRODUCT(ABS(Tekstboek!$AH$20:$AU$20-Gebruikt!$AH$17:$AU$17))/14</f>
        <v>0.635714285714286</v>
      </c>
      <c r="T56" s="2" t="n">
        <f aca="false">1-SUMPRODUCT(ABS(Tekstboek!$AH$20:$AU$20-Gebruikt!$AH$18:$AU$18))/14</f>
        <v>0.628571428571429</v>
      </c>
      <c r="U56" s="2" t="n">
        <f aca="false">1-SUMPRODUCT(ABS(Tekstboek!$AH$20:$AU$20-Gebruikt!$AH$19:$AU$19))/14</f>
        <v>0.714285714285714</v>
      </c>
      <c r="V56" s="2" t="n">
        <f aca="false">1-SUMPRODUCT(ABS(Tekstboek!$AH$20:$AU$20-Gebruikt!$AH$20:$AU$20))/14</f>
        <v>0.6</v>
      </c>
      <c r="W56" s="2" t="n">
        <f aca="false">1-SUMPRODUCT(ABS(Tekstboek!$AH$20:$AU$20-Gebruikt!$AH$21:$AU$21))/14</f>
        <v>0.714285714285714</v>
      </c>
      <c r="X56" s="2" t="n">
        <f aca="false">1-SUMPRODUCT(ABS(Tekstboek!$AH$20:$AU$20-Gebruikt!$AH$22:$AU$22))/14</f>
        <v>0.65</v>
      </c>
      <c r="Y56" s="2" t="n">
        <f aca="false">1-SUMPRODUCT(ABS(Tekstboek!$AH$20:$AU$20-Gebruikt!$AH$23:$AU$23))/14</f>
        <v>0.678571428571429</v>
      </c>
      <c r="Z56" s="2" t="n">
        <f aca="false">1-SUMPRODUCT(ABS(Tekstboek!$AH$20:$AU$20-Gebruikt!$AH$24:$AU$24))/14</f>
        <v>0.678571428571429</v>
      </c>
      <c r="AA56" s="2" t="n">
        <f aca="false">1-SUMPRODUCT(ABS(Tekstboek!$AH$20:$AU$20-Gebruikt!$AH$25:$AU$25))/14</f>
        <v>0.8</v>
      </c>
      <c r="AB56" s="2" t="n">
        <f aca="false">1-SUMPRODUCT(ABS(Tekstboek!$AH$20:$AU$20-Gebruikt!$AH$26:$AU$26))/14</f>
        <v>0.657142857142857</v>
      </c>
      <c r="AC56" s="2" t="n">
        <f aca="false">1-SUMPRODUCT(ABS(Tekstboek!$AH$20:$AU$20-Gebruikt!$AH$27:$AU$27))/14</f>
        <v>0.728571428571429</v>
      </c>
      <c r="AD56" s="2" t="n">
        <f aca="false">1-SUMPRODUCT(ABS(Tekstboek!$AH$20:$AU$20-Gebruikt!$AH$28:$AU$28))/14</f>
        <v>0.657142857142857</v>
      </c>
      <c r="AE56" s="2" t="n">
        <f aca="false">1-SUMPRODUCT(ABS(Tekstboek!$AH$20:$AU$20-Gebruikt!$AH$29:$AU$29))/14</f>
        <v>0.607142857142857</v>
      </c>
      <c r="AF56" s="2" t="n">
        <f aca="false">1-SUMPRODUCT(ABS(Tekstboek!$AH$20:$AU$20-Gebruikt!$AH$30:$AU$30))/14</f>
        <v>0.578571428571429</v>
      </c>
      <c r="AG56" s="2" t="n">
        <f aca="false">1-SUMPRODUCT(ABS(Tekstboek!$AH$20:$AU$20-Gebruikt!$AH$31:$AU$31))/14</f>
        <v>0.7</v>
      </c>
      <c r="AH56" s="2" t="n">
        <f aca="false">1-SUMPRODUCT(ABS(Tekstboek!$AH$20:$AU$20-Gebruikt!$AH$32:$AU$32))/14</f>
        <v>0.628571428571429</v>
      </c>
      <c r="AI56" s="2" t="n">
        <f aca="false">1-SUMPRODUCT(ABS(Tekstboek!$AH$20:$AU$20-Gebruikt!$AH$33:$AU$33))/14</f>
        <v>0.607142857142857</v>
      </c>
      <c r="AJ56" s="2" t="n">
        <f aca="false">1-SUMPRODUCT(ABS(Tekstboek!$AH$20:$AU$20-Gebruikt!$AH$34:$AU$34))/14</f>
        <v>0.714285714285714</v>
      </c>
      <c r="AK56" s="2" t="n">
        <f aca="false">1-SUMPRODUCT(ABS(Tekstboek!$AH$20:$AU$20-Gebruikt!$AH$35:$AU$35))/14</f>
        <v>0.678571428571429</v>
      </c>
      <c r="AL56" s="2" t="n">
        <f aca="false">1-SUMPRODUCT(ABS(Tekstboek!$AH$20:$AU$20-Gebruikt!$AH$36:$AU$36))/14</f>
        <v>0.7</v>
      </c>
      <c r="AM56" s="2" t="n">
        <f aca="false">1-SUMPRODUCT(ABS(Tekstboek!$AH$20:$AU$20-Gebruikt!$AH$37:$AU$37))/14</f>
        <v>0.557142857142857</v>
      </c>
      <c r="AN56" s="2" t="n">
        <f aca="false">1-SUMPRODUCT(ABS(Tekstboek!$AH$20:$AU$20-Gebruikt!$AH$38:$AU$38))/14</f>
        <v>0.607142857142857</v>
      </c>
      <c r="AO56" s="2" t="n">
        <f aca="false">1-SUMPRODUCT(ABS(Tekstboek!$AH$20:$AU$20-Gebruikt!$AH$39:$AU$39))/14</f>
        <v>0.571428571428571</v>
      </c>
      <c r="AP56" s="2" t="n">
        <f aca="false">1-SUMPRODUCT(ABS(Tekstboek!$AH$20:$AU$20-Gebruikt!$AH$40:$AU$40))/14</f>
        <v>0.6</v>
      </c>
      <c r="AQ56" s="2" t="n">
        <f aca="false">1-SUMPRODUCT(ABS(Tekstboek!$AH$20:$AU$20-Gebruikt!$AH$41:$AU$41))/14</f>
        <v>0.65</v>
      </c>
      <c r="AR56" s="2" t="n">
        <f aca="false">1-SUMPRODUCT(ABS(Tekstboek!$AH$20:$AU$20-Gebruikt!$AH$42:$AU$42))/14</f>
        <v>0.6</v>
      </c>
      <c r="AS56" s="2" t="n">
        <f aca="false">1-SUMPRODUCT(ABS(Tekstboek!$AH$20:$AU$20-Gebruikt!$AH$43:$AU$43))/14</f>
        <v>0.635714285714286</v>
      </c>
      <c r="AT56" s="2" t="n">
        <f aca="false">1-SUMPRODUCT(ABS(Tekstboek!$AH$20:$AU$20-Gebruikt!$AH$44:$AU$44))/14</f>
        <v>0.778571428571429</v>
      </c>
      <c r="AU56" s="2" t="n">
        <f aca="false">1-SUMPRODUCT(ABS(Tekstboek!$AH$20:$AU$20-Gebruikt!$AH$45:$AU$45))/14</f>
        <v>0.635714285714286</v>
      </c>
      <c r="AV56" s="2" t="n">
        <f aca="false">1-SUMPRODUCT(ABS(Tekstboek!$AH$20:$AU$20-Gebruikt!$AH$46:$AU$46))/14</f>
        <v>0.792857142857143</v>
      </c>
      <c r="AW56" s="2" t="n">
        <f aca="false">1-SUMPRODUCT(ABS(Tekstboek!$AH$20:$AU$20-Gebruikt!$AH$47:$AU$47))/14</f>
        <v>0.6</v>
      </c>
      <c r="AX56" s="2" t="n">
        <f aca="false">1-SUMPRODUCT(ABS(Tekstboek!$AH$20:$AU$20-Gebruikt!$AH$48:$AU$48))/14</f>
        <v>0.635714285714286</v>
      </c>
    </row>
    <row r="57" customFormat="false" ht="15" hidden="false" customHeight="false" outlineLevel="0" collapsed="false">
      <c r="A57" s="8" t="str">
        <f aca="false">Tekstboek!A21</f>
        <v>B18</v>
      </c>
      <c r="B57" s="8" t="str">
        <f aca="false">Tekstboek!B21</f>
        <v>[n-bit] Controlled constant adder (+-p)</v>
      </c>
      <c r="C57" s="2" t="n">
        <f aca="false">1-D57</f>
        <v>0.0428571428571428</v>
      </c>
      <c r="D57" s="2" t="n">
        <f aca="false">MAX(F57:AX57)</f>
        <v>0.957142857142857</v>
      </c>
      <c r="E57" s="2" t="str">
        <f aca="false">INDEX(Gebruikt!$B$4:$B$48,MATCH(D57,F57:AX57,0))</f>
        <v>Karatsuba squaring (recursive, in place)</v>
      </c>
      <c r="F57" s="2" t="n">
        <f aca="false">1-SUMPRODUCT(ABS(Tekstboek!$AH$21:$AU$21-Gebruikt!$AH$4:$AU$4))/14</f>
        <v>0.785714285714286</v>
      </c>
      <c r="G57" s="2" t="n">
        <f aca="false">1-SUMPRODUCT(ABS(Tekstboek!$AH$21:$AU$21-Gebruikt!$AH$5:$AU$5))/14</f>
        <v>0.728571428571429</v>
      </c>
      <c r="H57" s="2" t="n">
        <f aca="false">1-SUMPRODUCT(ABS(Tekstboek!$AH$21:$AU$21-Gebruikt!$AH$6:$AU$6))/14</f>
        <v>0.728571428571429</v>
      </c>
      <c r="I57" s="2" t="n">
        <f aca="false">1-SUMPRODUCT(ABS(Tekstboek!$AH$21:$AU$21-Gebruikt!$AH$7:$AU$7))/14</f>
        <v>0.657142857142857</v>
      </c>
      <c r="J57" s="2" t="n">
        <f aca="false">1-SUMPRODUCT(ABS(Tekstboek!$AH$21:$AU$21-Gebruikt!$AH$8:$AU$8))/14</f>
        <v>0.764285714285714</v>
      </c>
      <c r="K57" s="2" t="n">
        <f aca="false">1-SUMPRODUCT(ABS(Tekstboek!$AH$21:$AU$21-Gebruikt!$AH$9:$AU$9))/14</f>
        <v>0.614285714285714</v>
      </c>
      <c r="L57" s="2" t="n">
        <f aca="false">1-SUMPRODUCT(ABS(Tekstboek!$AH$21:$AU$21-Gebruikt!$AH$10:$AU$10))/14</f>
        <v>0.614285714285714</v>
      </c>
      <c r="M57" s="2" t="n">
        <f aca="false">1-SUMPRODUCT(ABS(Tekstboek!$AH$21:$AU$21-Gebruikt!$AH$11:$AU$11))/14</f>
        <v>0.614285714285714</v>
      </c>
      <c r="N57" s="2" t="n">
        <f aca="false">1-SUMPRODUCT(ABS(Tekstboek!$AH$21:$AU$21-Gebruikt!$AH$12:$AU$12))/14</f>
        <v>0.578571428571429</v>
      </c>
      <c r="O57" s="2" t="n">
        <f aca="false">1-SUMPRODUCT(ABS(Tekstboek!$AH$21:$AU$21-Gebruikt!$AH$13:$AU$13))/14</f>
        <v>0.814285714285714</v>
      </c>
      <c r="P57" s="2" t="n">
        <f aca="false">1-SUMPRODUCT(ABS(Tekstboek!$AH$21:$AU$21-Gebruikt!$AH$14:$AU$14))/14</f>
        <v>0.685714285714286</v>
      </c>
      <c r="Q57" s="2" t="n">
        <f aca="false">1-SUMPRODUCT(ABS(Tekstboek!$AH$21:$AU$21-Gebruikt!$AH$15:$AU$15))/14</f>
        <v>0.757142857142857</v>
      </c>
      <c r="R57" s="2" t="n">
        <f aca="false">1-SUMPRODUCT(ABS(Tekstboek!$AH$21:$AU$21-Gebruikt!$AH$16:$AU$16))/14</f>
        <v>0.757142857142857</v>
      </c>
      <c r="S57" s="2" t="n">
        <f aca="false">1-SUMPRODUCT(ABS(Tekstboek!$AH$21:$AU$21-Gebruikt!$AH$17:$AU$17))/14</f>
        <v>0.65</v>
      </c>
      <c r="T57" s="2" t="n">
        <f aca="false">1-SUMPRODUCT(ABS(Tekstboek!$AH$21:$AU$21-Gebruikt!$AH$18:$AU$18))/14</f>
        <v>0.785714285714286</v>
      </c>
      <c r="U57" s="2" t="n">
        <f aca="false">1-SUMPRODUCT(ABS(Tekstboek!$AH$21:$AU$21-Gebruikt!$AH$19:$AU$19))/14</f>
        <v>0.871428571428571</v>
      </c>
      <c r="V57" s="2" t="n">
        <f aca="false">1-SUMPRODUCT(ABS(Tekstboek!$AH$21:$AU$21-Gebruikt!$AH$20:$AU$20))/14</f>
        <v>0.614285714285714</v>
      </c>
      <c r="W57" s="2" t="n">
        <f aca="false">1-SUMPRODUCT(ABS(Tekstboek!$AH$21:$AU$21-Gebruikt!$AH$21:$AU$21))/14</f>
        <v>0.728571428571429</v>
      </c>
      <c r="X57" s="2" t="n">
        <f aca="false">1-SUMPRODUCT(ABS(Tekstboek!$AH$21:$AU$21-Gebruikt!$AH$22:$AU$22))/14</f>
        <v>0.807142857142857</v>
      </c>
      <c r="Y57" s="2" t="n">
        <f aca="false">1-SUMPRODUCT(ABS(Tekstboek!$AH$21:$AU$21-Gebruikt!$AH$23:$AU$23))/14</f>
        <v>0.764285714285714</v>
      </c>
      <c r="Z57" s="2" t="n">
        <f aca="false">1-SUMPRODUCT(ABS(Tekstboek!$AH$21:$AU$21-Gebruikt!$AH$24:$AU$24))/14</f>
        <v>0.764285714285714</v>
      </c>
      <c r="AA57" s="2" t="n">
        <f aca="false">1-SUMPRODUCT(ABS(Tekstboek!$AH$21:$AU$21-Gebruikt!$AH$25:$AU$25))/14</f>
        <v>0.957142857142857</v>
      </c>
      <c r="AB57" s="2" t="n">
        <f aca="false">1-SUMPRODUCT(ABS(Tekstboek!$AH$21:$AU$21-Gebruikt!$AH$26:$AU$26))/14</f>
        <v>0.814285714285714</v>
      </c>
      <c r="AC57" s="2" t="n">
        <f aca="false">1-SUMPRODUCT(ABS(Tekstboek!$AH$21:$AU$21-Gebruikt!$AH$27:$AU$27))/14</f>
        <v>0.885714285714286</v>
      </c>
      <c r="AD57" s="2" t="n">
        <f aca="false">1-SUMPRODUCT(ABS(Tekstboek!$AH$21:$AU$21-Gebruikt!$AH$28:$AU$28))/14</f>
        <v>0.814285714285714</v>
      </c>
      <c r="AE57" s="2" t="n">
        <f aca="false">1-SUMPRODUCT(ABS(Tekstboek!$AH$21:$AU$21-Gebruikt!$AH$29:$AU$29))/14</f>
        <v>0.621428571428571</v>
      </c>
      <c r="AF57" s="2" t="n">
        <f aca="false">1-SUMPRODUCT(ABS(Tekstboek!$AH$21:$AU$21-Gebruikt!$AH$30:$AU$30))/14</f>
        <v>0.592857142857143</v>
      </c>
      <c r="AG57" s="2" t="n">
        <f aca="false">1-SUMPRODUCT(ABS(Tekstboek!$AH$21:$AU$21-Gebruikt!$AH$31:$AU$31))/14</f>
        <v>0.857142857142857</v>
      </c>
      <c r="AH57" s="2" t="n">
        <f aca="false">1-SUMPRODUCT(ABS(Tekstboek!$AH$21:$AU$21-Gebruikt!$AH$32:$AU$32))/14</f>
        <v>0.785714285714286</v>
      </c>
      <c r="AI57" s="2" t="n">
        <f aca="false">1-SUMPRODUCT(ABS(Tekstboek!$AH$21:$AU$21-Gebruikt!$AH$33:$AU$33))/14</f>
        <v>0.621428571428571</v>
      </c>
      <c r="AJ57" s="2" t="n">
        <f aca="false">1-SUMPRODUCT(ABS(Tekstboek!$AH$21:$AU$21-Gebruikt!$AH$34:$AU$34))/14</f>
        <v>0.728571428571429</v>
      </c>
      <c r="AK57" s="2" t="n">
        <f aca="false">1-SUMPRODUCT(ABS(Tekstboek!$AH$21:$AU$21-Gebruikt!$AH$35:$AU$35))/14</f>
        <v>0.764285714285714</v>
      </c>
      <c r="AL57" s="2" t="n">
        <f aca="false">1-SUMPRODUCT(ABS(Tekstboek!$AH$21:$AU$21-Gebruikt!$AH$36:$AU$36))/14</f>
        <v>0.857142857142857</v>
      </c>
      <c r="AM57" s="2" t="n">
        <f aca="false">1-SUMPRODUCT(ABS(Tekstboek!$AH$21:$AU$21-Gebruikt!$AH$37:$AU$37))/14</f>
        <v>0.714285714285714</v>
      </c>
      <c r="AN57" s="2" t="n">
        <f aca="false">1-SUMPRODUCT(ABS(Tekstboek!$AH$21:$AU$21-Gebruikt!$AH$38:$AU$38))/14</f>
        <v>0.621428571428571</v>
      </c>
      <c r="AO57" s="2" t="n">
        <f aca="false">1-SUMPRODUCT(ABS(Tekstboek!$AH$21:$AU$21-Gebruikt!$AH$39:$AU$39))/14</f>
        <v>0.728571428571429</v>
      </c>
      <c r="AP57" s="2" t="n">
        <f aca="false">1-SUMPRODUCT(ABS(Tekstboek!$AH$21:$AU$21-Gebruikt!$AH$40:$AU$40))/14</f>
        <v>0.614285714285714</v>
      </c>
      <c r="AQ57" s="2" t="n">
        <f aca="false">1-SUMPRODUCT(ABS(Tekstboek!$AH$21:$AU$21-Gebruikt!$AH$41:$AU$41))/14</f>
        <v>0.664285714285714</v>
      </c>
      <c r="AR57" s="2" t="n">
        <f aca="false">1-SUMPRODUCT(ABS(Tekstboek!$AH$21:$AU$21-Gebruikt!$AH$42:$AU$42))/14</f>
        <v>0.614285714285714</v>
      </c>
      <c r="AS57" s="2" t="n">
        <f aca="false">1-SUMPRODUCT(ABS(Tekstboek!$AH$21:$AU$21-Gebruikt!$AH$43:$AU$43))/14</f>
        <v>0.65</v>
      </c>
      <c r="AT57" s="2" t="n">
        <f aca="false">1-SUMPRODUCT(ABS(Tekstboek!$AH$21:$AU$21-Gebruikt!$AH$44:$AU$44))/14</f>
        <v>0.792857142857143</v>
      </c>
      <c r="AU57" s="2" t="n">
        <f aca="false">1-SUMPRODUCT(ABS(Tekstboek!$AH$21:$AU$21-Gebruikt!$AH$45:$AU$45))/14</f>
        <v>0.65</v>
      </c>
      <c r="AV57" s="2" t="n">
        <f aca="false">1-SUMPRODUCT(ABS(Tekstboek!$AH$21:$AU$21-Gebruikt!$AH$46:$AU$46))/14</f>
        <v>0.95</v>
      </c>
      <c r="AW57" s="2" t="n">
        <f aca="false">1-SUMPRODUCT(ABS(Tekstboek!$AH$21:$AU$21-Gebruikt!$AH$47:$AU$47))/14</f>
        <v>0.614285714285714</v>
      </c>
      <c r="AX57" s="2" t="n">
        <f aca="false">1-SUMPRODUCT(ABS(Tekstboek!$AH$21:$AU$21-Gebruikt!$AH$48:$AU$48))/14</f>
        <v>0.65</v>
      </c>
    </row>
    <row r="58" customFormat="false" ht="15" hidden="false" customHeight="false" outlineLevel="0" collapsed="false">
      <c r="A58" s="8" t="str">
        <f aca="false">Tekstboek!A22</f>
        <v>B19</v>
      </c>
      <c r="B58" s="8" t="str">
        <f aca="false">Tekstboek!B22</f>
        <v>[n-bit] Full-width comparator (subtract-sign)</v>
      </c>
      <c r="C58" s="2" t="n">
        <f aca="false">1-D58</f>
        <v>0.128571428571429</v>
      </c>
      <c r="D58" s="2" t="n">
        <f aca="false">MAX(F58:AX58)</f>
        <v>0.871428571428571</v>
      </c>
      <c r="E58" s="2" t="str">
        <f aca="false">INDEX(Gebruikt!$B$4:$B$48,MATCH(D58,F58:AX58,0))</f>
        <v>Karatsuba squaring (recursive, in place)</v>
      </c>
      <c r="F58" s="2" t="n">
        <f aca="false">1-SUMPRODUCT(ABS(Tekstboek!$AH$22:$AU$22-Gebruikt!$AH$4:$AU$4))/14</f>
        <v>0.7</v>
      </c>
      <c r="G58" s="2" t="n">
        <f aca="false">1-SUMPRODUCT(ABS(Tekstboek!$AH$22:$AU$22-Gebruikt!$AH$5:$AU$5))/14</f>
        <v>0.642857142857143</v>
      </c>
      <c r="H58" s="2" t="n">
        <f aca="false">1-SUMPRODUCT(ABS(Tekstboek!$AH$22:$AU$22-Gebruikt!$AH$6:$AU$6))/14</f>
        <v>0.642857142857143</v>
      </c>
      <c r="I58" s="2" t="n">
        <f aca="false">1-SUMPRODUCT(ABS(Tekstboek!$AH$22:$AU$22-Gebruikt!$AH$7:$AU$7))/14</f>
        <v>0.571428571428571</v>
      </c>
      <c r="J58" s="2" t="n">
        <f aca="false">1-SUMPRODUCT(ABS(Tekstboek!$AH$22:$AU$22-Gebruikt!$AH$8:$AU$8))/14</f>
        <v>0.678571428571429</v>
      </c>
      <c r="K58" s="2" t="n">
        <f aca="false">1-SUMPRODUCT(ABS(Tekstboek!$AH$22:$AU$22-Gebruikt!$AH$9:$AU$9))/14</f>
        <v>0.528571428571429</v>
      </c>
      <c r="L58" s="2" t="n">
        <f aca="false">1-SUMPRODUCT(ABS(Tekstboek!$AH$22:$AU$22-Gebruikt!$AH$10:$AU$10))/14</f>
        <v>0.528571428571429</v>
      </c>
      <c r="M58" s="2" t="n">
        <f aca="false">1-SUMPRODUCT(ABS(Tekstboek!$AH$22:$AU$22-Gebruikt!$AH$11:$AU$11))/14</f>
        <v>0.528571428571429</v>
      </c>
      <c r="N58" s="2" t="n">
        <f aca="false">1-SUMPRODUCT(ABS(Tekstboek!$AH$22:$AU$22-Gebruikt!$AH$12:$AU$12))/14</f>
        <v>0.492857142857143</v>
      </c>
      <c r="O58" s="2" t="n">
        <f aca="false">1-SUMPRODUCT(ABS(Tekstboek!$AH$22:$AU$22-Gebruikt!$AH$13:$AU$13))/14</f>
        <v>0.728571428571429</v>
      </c>
      <c r="P58" s="2" t="n">
        <f aca="false">1-SUMPRODUCT(ABS(Tekstboek!$AH$22:$AU$22-Gebruikt!$AH$14:$AU$14))/14</f>
        <v>0.6</v>
      </c>
      <c r="Q58" s="2" t="n">
        <f aca="false">1-SUMPRODUCT(ABS(Tekstboek!$AH$22:$AU$22-Gebruikt!$AH$15:$AU$15))/14</f>
        <v>0.671428571428572</v>
      </c>
      <c r="R58" s="2" t="n">
        <f aca="false">1-SUMPRODUCT(ABS(Tekstboek!$AH$22:$AU$22-Gebruikt!$AH$16:$AU$16))/14</f>
        <v>0.671428571428572</v>
      </c>
      <c r="S58" s="2" t="n">
        <f aca="false">1-SUMPRODUCT(ABS(Tekstboek!$AH$22:$AU$22-Gebruikt!$AH$17:$AU$17))/14</f>
        <v>0.564285714285714</v>
      </c>
      <c r="T58" s="2" t="n">
        <f aca="false">1-SUMPRODUCT(ABS(Tekstboek!$AH$22:$AU$22-Gebruikt!$AH$18:$AU$18))/14</f>
        <v>0.7</v>
      </c>
      <c r="U58" s="2" t="n">
        <f aca="false">1-SUMPRODUCT(ABS(Tekstboek!$AH$22:$AU$22-Gebruikt!$AH$19:$AU$19))/14</f>
        <v>0.785714285714286</v>
      </c>
      <c r="V58" s="2" t="n">
        <f aca="false">1-SUMPRODUCT(ABS(Tekstboek!$AH$22:$AU$22-Gebruikt!$AH$20:$AU$20))/14</f>
        <v>0.528571428571429</v>
      </c>
      <c r="W58" s="2" t="n">
        <f aca="false">1-SUMPRODUCT(ABS(Tekstboek!$AH$22:$AU$22-Gebruikt!$AH$21:$AU$21))/14</f>
        <v>0.642857142857143</v>
      </c>
      <c r="X58" s="2" t="n">
        <f aca="false">1-SUMPRODUCT(ABS(Tekstboek!$AH$22:$AU$22-Gebruikt!$AH$22:$AU$22))/14</f>
        <v>0.721428571428571</v>
      </c>
      <c r="Y58" s="2" t="n">
        <f aca="false">1-SUMPRODUCT(ABS(Tekstboek!$AH$22:$AU$22-Gebruikt!$AH$23:$AU$23))/14</f>
        <v>0.678571428571429</v>
      </c>
      <c r="Z58" s="2" t="n">
        <f aca="false">1-SUMPRODUCT(ABS(Tekstboek!$AH$22:$AU$22-Gebruikt!$AH$24:$AU$24))/14</f>
        <v>0.678571428571429</v>
      </c>
      <c r="AA58" s="2" t="n">
        <f aca="false">1-SUMPRODUCT(ABS(Tekstboek!$AH$22:$AU$22-Gebruikt!$AH$25:$AU$25))/14</f>
        <v>0.871428571428571</v>
      </c>
      <c r="AB58" s="2" t="n">
        <f aca="false">1-SUMPRODUCT(ABS(Tekstboek!$AH$22:$AU$22-Gebruikt!$AH$26:$AU$26))/14</f>
        <v>0.728571428571429</v>
      </c>
      <c r="AC58" s="2" t="n">
        <f aca="false">1-SUMPRODUCT(ABS(Tekstboek!$AH$22:$AU$22-Gebruikt!$AH$27:$AU$27))/14</f>
        <v>0.8</v>
      </c>
      <c r="AD58" s="2" t="n">
        <f aca="false">1-SUMPRODUCT(ABS(Tekstboek!$AH$22:$AU$22-Gebruikt!$AH$28:$AU$28))/14</f>
        <v>0.728571428571429</v>
      </c>
      <c r="AE58" s="2" t="n">
        <f aca="false">1-SUMPRODUCT(ABS(Tekstboek!$AH$22:$AU$22-Gebruikt!$AH$29:$AU$29))/14</f>
        <v>0.535714285714286</v>
      </c>
      <c r="AF58" s="2" t="n">
        <f aca="false">1-SUMPRODUCT(ABS(Tekstboek!$AH$22:$AU$22-Gebruikt!$AH$30:$AU$30))/14</f>
        <v>0.507142857142857</v>
      </c>
      <c r="AG58" s="2" t="n">
        <f aca="false">1-SUMPRODUCT(ABS(Tekstboek!$AH$22:$AU$22-Gebruikt!$AH$31:$AU$31))/14</f>
        <v>0.771428571428571</v>
      </c>
      <c r="AH58" s="2" t="n">
        <f aca="false">1-SUMPRODUCT(ABS(Tekstboek!$AH$22:$AU$22-Gebruikt!$AH$32:$AU$32))/14</f>
        <v>0.7</v>
      </c>
      <c r="AI58" s="2" t="n">
        <f aca="false">1-SUMPRODUCT(ABS(Tekstboek!$AH$22:$AU$22-Gebruikt!$AH$33:$AU$33))/14</f>
        <v>0.535714285714286</v>
      </c>
      <c r="AJ58" s="2" t="n">
        <f aca="false">1-SUMPRODUCT(ABS(Tekstboek!$AH$22:$AU$22-Gebruikt!$AH$34:$AU$34))/14</f>
        <v>0.642857142857143</v>
      </c>
      <c r="AK58" s="2" t="n">
        <f aca="false">1-SUMPRODUCT(ABS(Tekstboek!$AH$22:$AU$22-Gebruikt!$AH$35:$AU$35))/14</f>
        <v>0.678571428571429</v>
      </c>
      <c r="AL58" s="2" t="n">
        <f aca="false">1-SUMPRODUCT(ABS(Tekstboek!$AH$22:$AU$22-Gebruikt!$AH$36:$AU$36))/14</f>
        <v>0.771428571428571</v>
      </c>
      <c r="AM58" s="2" t="n">
        <f aca="false">1-SUMPRODUCT(ABS(Tekstboek!$AH$22:$AU$22-Gebruikt!$AH$37:$AU$37))/14</f>
        <v>0.628571428571429</v>
      </c>
      <c r="AN58" s="2" t="n">
        <f aca="false">1-SUMPRODUCT(ABS(Tekstboek!$AH$22:$AU$22-Gebruikt!$AH$38:$AU$38))/14</f>
        <v>0.535714285714286</v>
      </c>
      <c r="AO58" s="2" t="n">
        <f aca="false">1-SUMPRODUCT(ABS(Tekstboek!$AH$22:$AU$22-Gebruikt!$AH$39:$AU$39))/14</f>
        <v>0.642857142857143</v>
      </c>
      <c r="AP58" s="2" t="n">
        <f aca="false">1-SUMPRODUCT(ABS(Tekstboek!$AH$22:$AU$22-Gebruikt!$AH$40:$AU$40))/14</f>
        <v>0.528571428571429</v>
      </c>
      <c r="AQ58" s="2" t="n">
        <f aca="false">1-SUMPRODUCT(ABS(Tekstboek!$AH$22:$AU$22-Gebruikt!$AH$41:$AU$41))/14</f>
        <v>0.578571428571429</v>
      </c>
      <c r="AR58" s="2" t="n">
        <f aca="false">1-SUMPRODUCT(ABS(Tekstboek!$AH$22:$AU$22-Gebruikt!$AH$42:$AU$42))/14</f>
        <v>0.528571428571429</v>
      </c>
      <c r="AS58" s="2" t="n">
        <f aca="false">1-SUMPRODUCT(ABS(Tekstboek!$AH$22:$AU$22-Gebruikt!$AH$43:$AU$43))/14</f>
        <v>0.564285714285714</v>
      </c>
      <c r="AT58" s="2" t="n">
        <f aca="false">1-SUMPRODUCT(ABS(Tekstboek!$AH$22:$AU$22-Gebruikt!$AH$44:$AU$44))/14</f>
        <v>0.707142857142857</v>
      </c>
      <c r="AU58" s="2" t="n">
        <f aca="false">1-SUMPRODUCT(ABS(Tekstboek!$AH$22:$AU$22-Gebruikt!$AH$45:$AU$45))/14</f>
        <v>0.564285714285714</v>
      </c>
      <c r="AV58" s="2" t="n">
        <f aca="false">1-SUMPRODUCT(ABS(Tekstboek!$AH$22:$AU$22-Gebruikt!$AH$46:$AU$46))/14</f>
        <v>0.864285714285714</v>
      </c>
      <c r="AW58" s="2" t="n">
        <f aca="false">1-SUMPRODUCT(ABS(Tekstboek!$AH$22:$AU$22-Gebruikt!$AH$47:$AU$47))/14</f>
        <v>0.528571428571429</v>
      </c>
      <c r="AX58" s="2" t="n">
        <f aca="false">1-SUMPRODUCT(ABS(Tekstboek!$AH$22:$AU$22-Gebruikt!$AH$48:$AU$48))/14</f>
        <v>0.564285714285714</v>
      </c>
    </row>
    <row r="59" customFormat="false" ht="15" hidden="false" customHeight="false" outlineLevel="0" collapsed="false">
      <c r="A59" s="8" t="str">
        <f aca="false">Tekstboek!A23</f>
        <v>B20</v>
      </c>
      <c r="B59" s="8" t="str">
        <f aca="false">Tekstboek!B23</f>
        <v>[n-bit] Top-window comparator (w bits)</v>
      </c>
      <c r="C59" s="2" t="n">
        <f aca="false">1-D59</f>
        <v>0.228571428571429</v>
      </c>
      <c r="D59" s="2" t="n">
        <f aca="false">MAX(F59:AX59)</f>
        <v>0.771428571428571</v>
      </c>
      <c r="E59" s="2" t="str">
        <f aca="false">INDEX(Gebruikt!$B$4:$B$48,MATCH(D59,F59:AX59,0))</f>
        <v>Fiat-Shamir reroll / identity-tail nonce island selection</v>
      </c>
      <c r="F59" s="2" t="n">
        <f aca="false">1-SUMPRODUCT(ABS(Tekstboek!$AH$23:$AU$23-Gebruikt!$AH$4:$AU$4))/14</f>
        <v>0.585714285714286</v>
      </c>
      <c r="G59" s="2" t="n">
        <f aca="false">1-SUMPRODUCT(ABS(Tekstboek!$AH$23:$AU$23-Gebruikt!$AH$5:$AU$5))/14</f>
        <v>0.671428571428572</v>
      </c>
      <c r="H59" s="2" t="n">
        <f aca="false">1-SUMPRODUCT(ABS(Tekstboek!$AH$23:$AU$23-Gebruikt!$AH$6:$AU$6))/14</f>
        <v>0.671428571428572</v>
      </c>
      <c r="I59" s="2" t="n">
        <f aca="false">1-SUMPRODUCT(ABS(Tekstboek!$AH$23:$AU$23-Gebruikt!$AH$7:$AU$7))/14</f>
        <v>0.742857142857143</v>
      </c>
      <c r="J59" s="2" t="n">
        <f aca="false">1-SUMPRODUCT(ABS(Tekstboek!$AH$23:$AU$23-Gebruikt!$AH$8:$AU$8))/14</f>
        <v>0.707142857142857</v>
      </c>
      <c r="K59" s="2" t="n">
        <f aca="false">1-SUMPRODUCT(ABS(Tekstboek!$AH$23:$AU$23-Gebruikt!$AH$9:$AU$9))/14</f>
        <v>0.7</v>
      </c>
      <c r="L59" s="2" t="n">
        <f aca="false">1-SUMPRODUCT(ABS(Tekstboek!$AH$23:$AU$23-Gebruikt!$AH$10:$AU$10))/14</f>
        <v>0.7</v>
      </c>
      <c r="M59" s="2" t="n">
        <f aca="false">1-SUMPRODUCT(ABS(Tekstboek!$AH$23:$AU$23-Gebruikt!$AH$11:$AU$11))/14</f>
        <v>0.7</v>
      </c>
      <c r="N59" s="2" t="n">
        <f aca="false">1-SUMPRODUCT(ABS(Tekstboek!$AH$23:$AU$23-Gebruikt!$AH$12:$AU$12))/14</f>
        <v>0.664285714285714</v>
      </c>
      <c r="O59" s="2" t="n">
        <f aca="false">1-SUMPRODUCT(ABS(Tekstboek!$AH$23:$AU$23-Gebruikt!$AH$13:$AU$13))/14</f>
        <v>0.757142857142857</v>
      </c>
      <c r="P59" s="2" t="n">
        <f aca="false">1-SUMPRODUCT(ABS(Tekstboek!$AH$23:$AU$23-Gebruikt!$AH$14:$AU$14))/14</f>
        <v>0.771428571428571</v>
      </c>
      <c r="Q59" s="2" t="n">
        <f aca="false">1-SUMPRODUCT(ABS(Tekstboek!$AH$23:$AU$23-Gebruikt!$AH$15:$AU$15))/14</f>
        <v>0.7</v>
      </c>
      <c r="R59" s="2" t="n">
        <f aca="false">1-SUMPRODUCT(ABS(Tekstboek!$AH$23:$AU$23-Gebruikt!$AH$16:$AU$16))/14</f>
        <v>0.7</v>
      </c>
      <c r="S59" s="2" t="n">
        <f aca="false">1-SUMPRODUCT(ABS(Tekstboek!$AH$23:$AU$23-Gebruikt!$AH$17:$AU$17))/14</f>
        <v>0.592857142857143</v>
      </c>
      <c r="T59" s="2" t="n">
        <f aca="false">1-SUMPRODUCT(ABS(Tekstboek!$AH$23:$AU$23-Gebruikt!$AH$18:$AU$18))/14</f>
        <v>0.585714285714286</v>
      </c>
      <c r="U59" s="2" t="n">
        <f aca="false">1-SUMPRODUCT(ABS(Tekstboek!$AH$23:$AU$23-Gebruikt!$AH$19:$AU$19))/14</f>
        <v>0.671428571428572</v>
      </c>
      <c r="V59" s="2" t="n">
        <f aca="false">1-SUMPRODUCT(ABS(Tekstboek!$AH$23:$AU$23-Gebruikt!$AH$20:$AU$20))/14</f>
        <v>0.7</v>
      </c>
      <c r="W59" s="2" t="n">
        <f aca="false">1-SUMPRODUCT(ABS(Tekstboek!$AH$23:$AU$23-Gebruikt!$AH$21:$AU$21))/14</f>
        <v>0.671428571428572</v>
      </c>
      <c r="X59" s="2" t="n">
        <f aca="false">1-SUMPRODUCT(ABS(Tekstboek!$AH$23:$AU$23-Gebruikt!$AH$22:$AU$22))/14</f>
        <v>0.721428571428571</v>
      </c>
      <c r="Y59" s="2" t="n">
        <f aca="false">1-SUMPRODUCT(ABS(Tekstboek!$AH$23:$AU$23-Gebruikt!$AH$23:$AU$23))/14</f>
        <v>0.707142857142857</v>
      </c>
      <c r="Z59" s="2" t="n">
        <f aca="false">1-SUMPRODUCT(ABS(Tekstboek!$AH$23:$AU$23-Gebruikt!$AH$24:$AU$24))/14</f>
        <v>0.707142857142857</v>
      </c>
      <c r="AA59" s="2" t="n">
        <f aca="false">1-SUMPRODUCT(ABS(Tekstboek!$AH$23:$AU$23-Gebruikt!$AH$25:$AU$25))/14</f>
        <v>0.728571428571429</v>
      </c>
      <c r="AB59" s="2" t="n">
        <f aca="false">1-SUMPRODUCT(ABS(Tekstboek!$AH$23:$AU$23-Gebruikt!$AH$26:$AU$26))/14</f>
        <v>0.728571428571429</v>
      </c>
      <c r="AC59" s="2" t="n">
        <f aca="false">1-SUMPRODUCT(ABS(Tekstboek!$AH$23:$AU$23-Gebruikt!$AH$27:$AU$27))/14</f>
        <v>0.685714285714286</v>
      </c>
      <c r="AD59" s="2" t="n">
        <f aca="false">1-SUMPRODUCT(ABS(Tekstboek!$AH$23:$AU$23-Gebruikt!$AH$28:$AU$28))/14</f>
        <v>0.757142857142857</v>
      </c>
      <c r="AE59" s="2" t="n">
        <f aca="false">1-SUMPRODUCT(ABS(Tekstboek!$AH$23:$AU$23-Gebruikt!$AH$29:$AU$29))/14</f>
        <v>0.564285714285714</v>
      </c>
      <c r="AF59" s="2" t="n">
        <f aca="false">1-SUMPRODUCT(ABS(Tekstboek!$AH$23:$AU$23-Gebruikt!$AH$30:$AU$30))/14</f>
        <v>0.535714285714286</v>
      </c>
      <c r="AG59" s="2" t="n">
        <f aca="false">1-SUMPRODUCT(ABS(Tekstboek!$AH$23:$AU$23-Gebruikt!$AH$31:$AU$31))/14</f>
        <v>0.657142857142857</v>
      </c>
      <c r="AH59" s="2" t="n">
        <f aca="false">1-SUMPRODUCT(ABS(Tekstboek!$AH$23:$AU$23-Gebruikt!$AH$32:$AU$32))/14</f>
        <v>0.585714285714286</v>
      </c>
      <c r="AI59" s="2" t="n">
        <f aca="false">1-SUMPRODUCT(ABS(Tekstboek!$AH$23:$AU$23-Gebruikt!$AH$33:$AU$33))/14</f>
        <v>0.707142857142857</v>
      </c>
      <c r="AJ59" s="2" t="n">
        <f aca="false">1-SUMPRODUCT(ABS(Tekstboek!$AH$23:$AU$23-Gebruikt!$AH$34:$AU$34))/14</f>
        <v>0.671428571428572</v>
      </c>
      <c r="AK59" s="2" t="n">
        <f aca="false">1-SUMPRODUCT(ABS(Tekstboek!$AH$23:$AU$23-Gebruikt!$AH$35:$AU$35))/14</f>
        <v>0.707142857142857</v>
      </c>
      <c r="AL59" s="2" t="n">
        <f aca="false">1-SUMPRODUCT(ABS(Tekstboek!$AH$23:$AU$23-Gebruikt!$AH$36:$AU$36))/14</f>
        <v>0.657142857142857</v>
      </c>
      <c r="AM59" s="2" t="n">
        <f aca="false">1-SUMPRODUCT(ABS(Tekstboek!$AH$23:$AU$23-Gebruikt!$AH$37:$AU$37))/14</f>
        <v>0.657142857142857</v>
      </c>
      <c r="AN59" s="2" t="n">
        <f aca="false">1-SUMPRODUCT(ABS(Tekstboek!$AH$23:$AU$23-Gebruikt!$AH$38:$AU$38))/14</f>
        <v>0.564285714285714</v>
      </c>
      <c r="AO59" s="2" t="n">
        <f aca="false">1-SUMPRODUCT(ABS(Tekstboek!$AH$23:$AU$23-Gebruikt!$AH$39:$AU$39))/14</f>
        <v>0.671428571428572</v>
      </c>
      <c r="AP59" s="2" t="n">
        <f aca="false">1-SUMPRODUCT(ABS(Tekstboek!$AH$23:$AU$23-Gebruikt!$AH$40:$AU$40))/14</f>
        <v>0.7</v>
      </c>
      <c r="AQ59" s="2" t="n">
        <f aca="false">1-SUMPRODUCT(ABS(Tekstboek!$AH$23:$AU$23-Gebruikt!$AH$41:$AU$41))/14</f>
        <v>0.607142857142857</v>
      </c>
      <c r="AR59" s="2" t="n">
        <f aca="false">1-SUMPRODUCT(ABS(Tekstboek!$AH$23:$AU$23-Gebruikt!$AH$42:$AU$42))/14</f>
        <v>0.7</v>
      </c>
      <c r="AS59" s="2" t="n">
        <f aca="false">1-SUMPRODUCT(ABS(Tekstboek!$AH$23:$AU$23-Gebruikt!$AH$43:$AU$43))/14</f>
        <v>0.735714285714286</v>
      </c>
      <c r="AT59" s="2" t="n">
        <f aca="false">1-SUMPRODUCT(ABS(Tekstboek!$AH$23:$AU$23-Gebruikt!$AH$44:$AU$44))/14</f>
        <v>0.735714285714286</v>
      </c>
      <c r="AU59" s="2" t="n">
        <f aca="false">1-SUMPRODUCT(ABS(Tekstboek!$AH$23:$AU$23-Gebruikt!$AH$45:$AU$45))/14</f>
        <v>0.735714285714286</v>
      </c>
      <c r="AV59" s="2" t="n">
        <f aca="false">1-SUMPRODUCT(ABS(Tekstboek!$AH$23:$AU$23-Gebruikt!$AH$46:$AU$46))/14</f>
        <v>0.721428571428571</v>
      </c>
      <c r="AW59" s="2" t="n">
        <f aca="false">1-SUMPRODUCT(ABS(Tekstboek!$AH$23:$AU$23-Gebruikt!$AH$47:$AU$47))/14</f>
        <v>0.7</v>
      </c>
      <c r="AX59" s="2" t="n">
        <f aca="false">1-SUMPRODUCT(ABS(Tekstboek!$AH$23:$AU$23-Gebruikt!$AH$48:$AU$48))/14</f>
        <v>0.592857142857143</v>
      </c>
    </row>
    <row r="60" customFormat="false" ht="15" hidden="false" customHeight="false" outlineLevel="0" collapsed="false">
      <c r="A60" s="8" t="str">
        <f aca="false">Tekstboek!A24</f>
        <v>B21</v>
      </c>
      <c r="B60" s="8" t="str">
        <f aca="false">Tekstboek!B24</f>
        <v>[n-bit] Comparator with conditionally clean ancillae</v>
      </c>
      <c r="C60" s="2" t="n">
        <f aca="false">1-D60</f>
        <v>0.157142857142857</v>
      </c>
      <c r="D60" s="2" t="n">
        <f aca="false">MAX(F60:AX60)</f>
        <v>0.842857142857143</v>
      </c>
      <c r="E60" s="2" t="str">
        <f aca="false">INDEX(Gebruikt!$B$4:$B$48,MATCH(D60,F60:AX60,0))</f>
        <v>Joint-pin peak analysis / peak-owner tracing and qubit-cap retuning</v>
      </c>
      <c r="F60" s="2" t="n">
        <f aca="false">1-SUMPRODUCT(ABS(Tekstboek!$AH$24:$AU$24-Gebruikt!$AH$4:$AU$4))/14</f>
        <v>0.65</v>
      </c>
      <c r="G60" s="2" t="n">
        <f aca="false">1-SUMPRODUCT(ABS(Tekstboek!$AH$24:$AU$24-Gebruikt!$AH$5:$AU$5))/14</f>
        <v>0.807142857142857</v>
      </c>
      <c r="H60" s="2" t="n">
        <f aca="false">1-SUMPRODUCT(ABS(Tekstboek!$AH$24:$AU$24-Gebruikt!$AH$6:$AU$6))/14</f>
        <v>0.807142857142857</v>
      </c>
      <c r="I60" s="2" t="n">
        <f aca="false">1-SUMPRODUCT(ABS(Tekstboek!$AH$24:$AU$24-Gebruikt!$AH$7:$AU$7))/14</f>
        <v>0.735714285714286</v>
      </c>
      <c r="J60" s="2" t="n">
        <f aca="false">1-SUMPRODUCT(ABS(Tekstboek!$AH$24:$AU$24-Gebruikt!$AH$8:$AU$8))/14</f>
        <v>0.842857142857143</v>
      </c>
      <c r="K60" s="2" t="n">
        <f aca="false">1-SUMPRODUCT(ABS(Tekstboek!$AH$24:$AU$24-Gebruikt!$AH$9:$AU$9))/14</f>
        <v>0.635714285714286</v>
      </c>
      <c r="L60" s="2" t="n">
        <f aca="false">1-SUMPRODUCT(ABS(Tekstboek!$AH$24:$AU$24-Gebruikt!$AH$10:$AU$10))/14</f>
        <v>0.635714285714286</v>
      </c>
      <c r="M60" s="2" t="n">
        <f aca="false">1-SUMPRODUCT(ABS(Tekstboek!$AH$24:$AU$24-Gebruikt!$AH$11:$AU$11))/14</f>
        <v>0.635714285714286</v>
      </c>
      <c r="N60" s="2" t="n">
        <f aca="false">1-SUMPRODUCT(ABS(Tekstboek!$AH$24:$AU$24-Gebruikt!$AH$12:$AU$12))/14</f>
        <v>0.6</v>
      </c>
      <c r="O60" s="2" t="n">
        <f aca="false">1-SUMPRODUCT(ABS(Tekstboek!$AH$24:$AU$24-Gebruikt!$AH$13:$AU$13))/14</f>
        <v>0.678571428571429</v>
      </c>
      <c r="P60" s="2" t="n">
        <f aca="false">1-SUMPRODUCT(ABS(Tekstboek!$AH$24:$AU$24-Gebruikt!$AH$14:$AU$14))/14</f>
        <v>0.707142857142857</v>
      </c>
      <c r="Q60" s="2" t="n">
        <f aca="false">1-SUMPRODUCT(ABS(Tekstboek!$AH$24:$AU$24-Gebruikt!$AH$15:$AU$15))/14</f>
        <v>0.778571428571429</v>
      </c>
      <c r="R60" s="2" t="n">
        <f aca="false">1-SUMPRODUCT(ABS(Tekstboek!$AH$24:$AU$24-Gebruikt!$AH$16:$AU$16))/14</f>
        <v>0.778571428571429</v>
      </c>
      <c r="S60" s="2" t="n">
        <f aca="false">1-SUMPRODUCT(ABS(Tekstboek!$AH$24:$AU$24-Gebruikt!$AH$17:$AU$17))/14</f>
        <v>0.7</v>
      </c>
      <c r="T60" s="2" t="n">
        <f aca="false">1-SUMPRODUCT(ABS(Tekstboek!$AH$24:$AU$24-Gebruikt!$AH$18:$AU$18))/14</f>
        <v>0.65</v>
      </c>
      <c r="U60" s="2" t="n">
        <f aca="false">1-SUMPRODUCT(ABS(Tekstboek!$AH$24:$AU$24-Gebruikt!$AH$19:$AU$19))/14</f>
        <v>0.735714285714286</v>
      </c>
      <c r="V60" s="2" t="n">
        <f aca="false">1-SUMPRODUCT(ABS(Tekstboek!$AH$24:$AU$24-Gebruikt!$AH$20:$AU$20))/14</f>
        <v>0.635714285714286</v>
      </c>
      <c r="W60" s="2" t="n">
        <f aca="false">1-SUMPRODUCT(ABS(Tekstboek!$AH$24:$AU$24-Gebruikt!$AH$21:$AU$21))/14</f>
        <v>0.807142857142857</v>
      </c>
      <c r="X60" s="2" t="n">
        <f aca="false">1-SUMPRODUCT(ABS(Tekstboek!$AH$24:$AU$24-Gebruikt!$AH$22:$AU$22))/14</f>
        <v>0.614285714285714</v>
      </c>
      <c r="Y60" s="2" t="n">
        <f aca="false">1-SUMPRODUCT(ABS(Tekstboek!$AH$24:$AU$24-Gebruikt!$AH$23:$AU$23))/14</f>
        <v>0.842857142857143</v>
      </c>
      <c r="Z60" s="2" t="n">
        <f aca="false">1-SUMPRODUCT(ABS(Tekstboek!$AH$24:$AU$24-Gebruikt!$AH$24:$AU$24))/14</f>
        <v>0.842857142857143</v>
      </c>
      <c r="AA60" s="2" t="n">
        <f aca="false">1-SUMPRODUCT(ABS(Tekstboek!$AH$24:$AU$24-Gebruikt!$AH$25:$AU$25))/14</f>
        <v>0.792857142857143</v>
      </c>
      <c r="AB60" s="2" t="n">
        <f aca="false">1-SUMPRODUCT(ABS(Tekstboek!$AH$24:$AU$24-Gebruikt!$AH$26:$AU$26))/14</f>
        <v>0.65</v>
      </c>
      <c r="AC60" s="2" t="n">
        <f aca="false">1-SUMPRODUCT(ABS(Tekstboek!$AH$24:$AU$24-Gebruikt!$AH$27:$AU$27))/14</f>
        <v>0.75</v>
      </c>
      <c r="AD60" s="2" t="n">
        <f aca="false">1-SUMPRODUCT(ABS(Tekstboek!$AH$24:$AU$24-Gebruikt!$AH$28:$AU$28))/14</f>
        <v>0.678571428571429</v>
      </c>
      <c r="AE60" s="2" t="n">
        <f aca="false">1-SUMPRODUCT(ABS(Tekstboek!$AH$24:$AU$24-Gebruikt!$AH$29:$AU$29))/14</f>
        <v>0.7</v>
      </c>
      <c r="AF60" s="2" t="n">
        <f aca="false">1-SUMPRODUCT(ABS(Tekstboek!$AH$24:$AU$24-Gebruikt!$AH$30:$AU$30))/14</f>
        <v>0.614285714285714</v>
      </c>
      <c r="AG60" s="2" t="n">
        <f aca="false">1-SUMPRODUCT(ABS(Tekstboek!$AH$24:$AU$24-Gebruikt!$AH$31:$AU$31))/14</f>
        <v>0.721428571428571</v>
      </c>
      <c r="AH60" s="2" t="n">
        <f aca="false">1-SUMPRODUCT(ABS(Tekstboek!$AH$24:$AU$24-Gebruikt!$AH$32:$AU$32))/14</f>
        <v>0.65</v>
      </c>
      <c r="AI60" s="2" t="n">
        <f aca="false">1-SUMPRODUCT(ABS(Tekstboek!$AH$24:$AU$24-Gebruikt!$AH$33:$AU$33))/14</f>
        <v>0.7</v>
      </c>
      <c r="AJ60" s="2" t="n">
        <f aca="false">1-SUMPRODUCT(ABS(Tekstboek!$AH$24:$AU$24-Gebruikt!$AH$34:$AU$34))/14</f>
        <v>0.807142857142857</v>
      </c>
      <c r="AK60" s="2" t="n">
        <f aca="false">1-SUMPRODUCT(ABS(Tekstboek!$AH$24:$AU$24-Gebruikt!$AH$35:$AU$35))/14</f>
        <v>0.842857142857143</v>
      </c>
      <c r="AL60" s="2" t="n">
        <f aca="false">1-SUMPRODUCT(ABS(Tekstboek!$AH$24:$AU$24-Gebruikt!$AH$36:$AU$36))/14</f>
        <v>0.721428571428571</v>
      </c>
      <c r="AM60" s="2" t="n">
        <f aca="false">1-SUMPRODUCT(ABS(Tekstboek!$AH$24:$AU$24-Gebruikt!$AH$37:$AU$37))/14</f>
        <v>0.578571428571429</v>
      </c>
      <c r="AN60" s="2" t="n">
        <f aca="false">1-SUMPRODUCT(ABS(Tekstboek!$AH$24:$AU$24-Gebruikt!$AH$38:$AU$38))/14</f>
        <v>0.7</v>
      </c>
      <c r="AO60" s="2" t="n">
        <f aca="false">1-SUMPRODUCT(ABS(Tekstboek!$AH$24:$AU$24-Gebruikt!$AH$39:$AU$39))/14</f>
        <v>0.592857142857143</v>
      </c>
      <c r="AP60" s="2" t="n">
        <f aca="false">1-SUMPRODUCT(ABS(Tekstboek!$AH$24:$AU$24-Gebruikt!$AH$40:$AU$40))/14</f>
        <v>0.635714285714286</v>
      </c>
      <c r="AQ60" s="2" t="n">
        <f aca="false">1-SUMPRODUCT(ABS(Tekstboek!$AH$24:$AU$24-Gebruikt!$AH$41:$AU$41))/14</f>
        <v>0.685714285714286</v>
      </c>
      <c r="AR60" s="2" t="n">
        <f aca="false">1-SUMPRODUCT(ABS(Tekstboek!$AH$24:$AU$24-Gebruikt!$AH$42:$AU$42))/14</f>
        <v>0.635714285714286</v>
      </c>
      <c r="AS60" s="2" t="n">
        <f aca="false">1-SUMPRODUCT(ABS(Tekstboek!$AH$24:$AU$24-Gebruikt!$AH$43:$AU$43))/14</f>
        <v>0.7</v>
      </c>
      <c r="AT60" s="2" t="n">
        <f aca="false">1-SUMPRODUCT(ABS(Tekstboek!$AH$24:$AU$24-Gebruikt!$AH$44:$AU$44))/14</f>
        <v>0.842857142857143</v>
      </c>
      <c r="AU60" s="2" t="n">
        <f aca="false">1-SUMPRODUCT(ABS(Tekstboek!$AH$24:$AU$24-Gebruikt!$AH$45:$AU$45))/14</f>
        <v>0.7</v>
      </c>
      <c r="AV60" s="2" t="n">
        <f aca="false">1-SUMPRODUCT(ABS(Tekstboek!$AH$24:$AU$24-Gebruikt!$AH$46:$AU$46))/14</f>
        <v>0.757142857142857</v>
      </c>
      <c r="AW60" s="2" t="n">
        <f aca="false">1-SUMPRODUCT(ABS(Tekstboek!$AH$24:$AU$24-Gebruikt!$AH$47:$AU$47))/14</f>
        <v>0.635714285714286</v>
      </c>
      <c r="AX60" s="2" t="n">
        <f aca="false">1-SUMPRODUCT(ABS(Tekstboek!$AH$24:$AU$24-Gebruikt!$AH$48:$AU$48))/14</f>
        <v>0.7</v>
      </c>
    </row>
    <row r="61" customFormat="false" ht="15" hidden="false" customHeight="false" outlineLevel="0" collapsed="false">
      <c r="A61" s="8" t="str">
        <f aca="false">Tekstboek!A25</f>
        <v>B22</v>
      </c>
      <c r="B61" s="8" t="str">
        <f aca="false">Tekstboek!B25</f>
        <v>[n-bit] Incrementer (dirty-ancilla)</v>
      </c>
      <c r="C61" s="2" t="n">
        <f aca="false">1-D61</f>
        <v>0.171428571428571</v>
      </c>
      <c r="D61" s="2" t="n">
        <f aca="false">MAX(F61:AX61)</f>
        <v>0.828571428571429</v>
      </c>
      <c r="E61" s="2" t="str">
        <f aca="false">INDEX(Gebruikt!$B$4:$B$48,MATCH(D61,F61:AX61,0))</f>
        <v>Joint-pin peak analysis / peak-owner tracing and qubit-cap retuning</v>
      </c>
      <c r="F61" s="2" t="n">
        <f aca="false">1-SUMPRODUCT(ABS(Tekstboek!$AH$25:$AU$25-Gebruikt!$AH$4:$AU$4))/14</f>
        <v>0.635714285714286</v>
      </c>
      <c r="G61" s="2" t="n">
        <f aca="false">1-SUMPRODUCT(ABS(Tekstboek!$AH$25:$AU$25-Gebruikt!$AH$5:$AU$5))/14</f>
        <v>0.792857142857143</v>
      </c>
      <c r="H61" s="2" t="n">
        <f aca="false">1-SUMPRODUCT(ABS(Tekstboek!$AH$25:$AU$25-Gebruikt!$AH$6:$AU$6))/14</f>
        <v>0.792857142857143</v>
      </c>
      <c r="I61" s="2" t="n">
        <f aca="false">1-SUMPRODUCT(ABS(Tekstboek!$AH$25:$AU$25-Gebruikt!$AH$7:$AU$7))/14</f>
        <v>0.721428571428571</v>
      </c>
      <c r="J61" s="2" t="n">
        <f aca="false">1-SUMPRODUCT(ABS(Tekstboek!$AH$25:$AU$25-Gebruikt!$AH$8:$AU$8))/14</f>
        <v>0.828571428571429</v>
      </c>
      <c r="K61" s="2" t="n">
        <f aca="false">1-SUMPRODUCT(ABS(Tekstboek!$AH$25:$AU$25-Gebruikt!$AH$9:$AU$9))/14</f>
        <v>0.65</v>
      </c>
      <c r="L61" s="2" t="n">
        <f aca="false">1-SUMPRODUCT(ABS(Tekstboek!$AH$25:$AU$25-Gebruikt!$AH$10:$AU$10))/14</f>
        <v>0.65</v>
      </c>
      <c r="M61" s="2" t="n">
        <f aca="false">1-SUMPRODUCT(ABS(Tekstboek!$AH$25:$AU$25-Gebruikt!$AH$11:$AU$11))/14</f>
        <v>0.65</v>
      </c>
      <c r="N61" s="2" t="n">
        <f aca="false">1-SUMPRODUCT(ABS(Tekstboek!$AH$25:$AU$25-Gebruikt!$AH$12:$AU$12))/14</f>
        <v>0.614285714285714</v>
      </c>
      <c r="O61" s="2" t="n">
        <f aca="false">1-SUMPRODUCT(ABS(Tekstboek!$AH$25:$AU$25-Gebruikt!$AH$13:$AU$13))/14</f>
        <v>0.664285714285714</v>
      </c>
      <c r="P61" s="2" t="n">
        <f aca="false">1-SUMPRODUCT(ABS(Tekstboek!$AH$25:$AU$25-Gebruikt!$AH$14:$AU$14))/14</f>
        <v>0.721428571428571</v>
      </c>
      <c r="Q61" s="2" t="n">
        <f aca="false">1-SUMPRODUCT(ABS(Tekstboek!$AH$25:$AU$25-Gebruikt!$AH$15:$AU$15))/14</f>
        <v>0.792857142857143</v>
      </c>
      <c r="R61" s="2" t="n">
        <f aca="false">1-SUMPRODUCT(ABS(Tekstboek!$AH$25:$AU$25-Gebruikt!$AH$16:$AU$16))/14</f>
        <v>0.792857142857143</v>
      </c>
      <c r="S61" s="2" t="n">
        <f aca="false">1-SUMPRODUCT(ABS(Tekstboek!$AH$25:$AU$25-Gebruikt!$AH$17:$AU$17))/14</f>
        <v>0.685714285714286</v>
      </c>
      <c r="T61" s="2" t="n">
        <f aca="false">1-SUMPRODUCT(ABS(Tekstboek!$AH$25:$AU$25-Gebruikt!$AH$18:$AU$18))/14</f>
        <v>0.635714285714286</v>
      </c>
      <c r="U61" s="2" t="n">
        <f aca="false">1-SUMPRODUCT(ABS(Tekstboek!$AH$25:$AU$25-Gebruikt!$AH$19:$AU$19))/14</f>
        <v>0.721428571428571</v>
      </c>
      <c r="V61" s="2" t="n">
        <f aca="false">1-SUMPRODUCT(ABS(Tekstboek!$AH$25:$AU$25-Gebruikt!$AH$20:$AU$20))/14</f>
        <v>0.65</v>
      </c>
      <c r="W61" s="2" t="n">
        <f aca="false">1-SUMPRODUCT(ABS(Tekstboek!$AH$25:$AU$25-Gebruikt!$AH$21:$AU$21))/14</f>
        <v>0.792857142857143</v>
      </c>
      <c r="X61" s="2" t="n">
        <f aca="false">1-SUMPRODUCT(ABS(Tekstboek!$AH$25:$AU$25-Gebruikt!$AH$22:$AU$22))/14</f>
        <v>0.628571428571429</v>
      </c>
      <c r="Y61" s="2" t="n">
        <f aca="false">1-SUMPRODUCT(ABS(Tekstboek!$AH$25:$AU$25-Gebruikt!$AH$23:$AU$23))/14</f>
        <v>0.828571428571429</v>
      </c>
      <c r="Z61" s="2" t="n">
        <f aca="false">1-SUMPRODUCT(ABS(Tekstboek!$AH$25:$AU$25-Gebruikt!$AH$24:$AU$24))/14</f>
        <v>0.828571428571429</v>
      </c>
      <c r="AA61" s="2" t="n">
        <f aca="false">1-SUMPRODUCT(ABS(Tekstboek!$AH$25:$AU$25-Gebruikt!$AH$25:$AU$25))/14</f>
        <v>0.778571428571429</v>
      </c>
      <c r="AB61" s="2" t="n">
        <f aca="false">1-SUMPRODUCT(ABS(Tekstboek!$AH$25:$AU$25-Gebruikt!$AH$26:$AU$26))/14</f>
        <v>0.635714285714286</v>
      </c>
      <c r="AC61" s="2" t="n">
        <f aca="false">1-SUMPRODUCT(ABS(Tekstboek!$AH$25:$AU$25-Gebruikt!$AH$27:$AU$27))/14</f>
        <v>0.735714285714286</v>
      </c>
      <c r="AD61" s="2" t="n">
        <f aca="false">1-SUMPRODUCT(ABS(Tekstboek!$AH$25:$AU$25-Gebruikt!$AH$28:$AU$28))/14</f>
        <v>0.664285714285714</v>
      </c>
      <c r="AE61" s="2" t="n">
        <f aca="false">1-SUMPRODUCT(ABS(Tekstboek!$AH$25:$AU$25-Gebruikt!$AH$29:$AU$29))/14</f>
        <v>0.685714285714286</v>
      </c>
      <c r="AF61" s="2" t="n">
        <f aca="false">1-SUMPRODUCT(ABS(Tekstboek!$AH$25:$AU$25-Gebruikt!$AH$30:$AU$30))/14</f>
        <v>0.628571428571429</v>
      </c>
      <c r="AG61" s="2" t="n">
        <f aca="false">1-SUMPRODUCT(ABS(Tekstboek!$AH$25:$AU$25-Gebruikt!$AH$31:$AU$31))/14</f>
        <v>0.707142857142857</v>
      </c>
      <c r="AH61" s="2" t="n">
        <f aca="false">1-SUMPRODUCT(ABS(Tekstboek!$AH$25:$AU$25-Gebruikt!$AH$32:$AU$32))/14</f>
        <v>0.635714285714286</v>
      </c>
      <c r="AI61" s="2" t="n">
        <f aca="false">1-SUMPRODUCT(ABS(Tekstboek!$AH$25:$AU$25-Gebruikt!$AH$33:$AU$33))/14</f>
        <v>0.685714285714286</v>
      </c>
      <c r="AJ61" s="2" t="n">
        <f aca="false">1-SUMPRODUCT(ABS(Tekstboek!$AH$25:$AU$25-Gebruikt!$AH$34:$AU$34))/14</f>
        <v>0.792857142857143</v>
      </c>
      <c r="AK61" s="2" t="n">
        <f aca="false">1-SUMPRODUCT(ABS(Tekstboek!$AH$25:$AU$25-Gebruikt!$AH$35:$AU$35))/14</f>
        <v>0.828571428571429</v>
      </c>
      <c r="AL61" s="2" t="n">
        <f aca="false">1-SUMPRODUCT(ABS(Tekstboek!$AH$25:$AU$25-Gebruikt!$AH$36:$AU$36))/14</f>
        <v>0.707142857142857</v>
      </c>
      <c r="AM61" s="2" t="n">
        <f aca="false">1-SUMPRODUCT(ABS(Tekstboek!$AH$25:$AU$25-Gebruikt!$AH$37:$AU$37))/14</f>
        <v>0.564285714285714</v>
      </c>
      <c r="AN61" s="2" t="n">
        <f aca="false">1-SUMPRODUCT(ABS(Tekstboek!$AH$25:$AU$25-Gebruikt!$AH$38:$AU$38))/14</f>
        <v>0.685714285714286</v>
      </c>
      <c r="AO61" s="2" t="n">
        <f aca="false">1-SUMPRODUCT(ABS(Tekstboek!$AH$25:$AU$25-Gebruikt!$AH$39:$AU$39))/14</f>
        <v>0.578571428571429</v>
      </c>
      <c r="AP61" s="2" t="n">
        <f aca="false">1-SUMPRODUCT(ABS(Tekstboek!$AH$25:$AU$25-Gebruikt!$AH$40:$AU$40))/14</f>
        <v>0.65</v>
      </c>
      <c r="AQ61" s="2" t="n">
        <f aca="false">1-SUMPRODUCT(ABS(Tekstboek!$AH$25:$AU$25-Gebruikt!$AH$41:$AU$41))/14</f>
        <v>0.7</v>
      </c>
      <c r="AR61" s="2" t="n">
        <f aca="false">1-SUMPRODUCT(ABS(Tekstboek!$AH$25:$AU$25-Gebruikt!$AH$42:$AU$42))/14</f>
        <v>0.65</v>
      </c>
      <c r="AS61" s="2" t="n">
        <f aca="false">1-SUMPRODUCT(ABS(Tekstboek!$AH$25:$AU$25-Gebruikt!$AH$43:$AU$43))/14</f>
        <v>0.685714285714286</v>
      </c>
      <c r="AT61" s="2" t="n">
        <f aca="false">1-SUMPRODUCT(ABS(Tekstboek!$AH$25:$AU$25-Gebruikt!$AH$44:$AU$44))/14</f>
        <v>0.828571428571429</v>
      </c>
      <c r="AU61" s="2" t="n">
        <f aca="false">1-SUMPRODUCT(ABS(Tekstboek!$AH$25:$AU$25-Gebruikt!$AH$45:$AU$45))/14</f>
        <v>0.685714285714286</v>
      </c>
      <c r="AV61" s="2" t="n">
        <f aca="false">1-SUMPRODUCT(ABS(Tekstboek!$AH$25:$AU$25-Gebruikt!$AH$46:$AU$46))/14</f>
        <v>0.771428571428571</v>
      </c>
      <c r="AW61" s="2" t="n">
        <f aca="false">1-SUMPRODUCT(ABS(Tekstboek!$AH$25:$AU$25-Gebruikt!$AH$47:$AU$47))/14</f>
        <v>0.65</v>
      </c>
      <c r="AX61" s="2" t="n">
        <f aca="false">1-SUMPRODUCT(ABS(Tekstboek!$AH$25:$AU$25-Gebruikt!$AH$48:$AU$48))/14</f>
        <v>0.685714285714286</v>
      </c>
    </row>
    <row r="62" customFormat="false" ht="15" hidden="false" customHeight="false" outlineLevel="0" collapsed="false">
      <c r="A62" s="8" t="str">
        <f aca="false">Tekstboek!A26</f>
        <v>B23</v>
      </c>
      <c r="B62" s="8" t="str">
        <f aca="false">Tekstboek!B26</f>
        <v>[n-bit] Multi-controlled NOT (Barenco ladder)</v>
      </c>
      <c r="C62" s="2" t="n">
        <f aca="false">1-D62</f>
        <v>0.185714285714286</v>
      </c>
      <c r="D62" s="2" t="n">
        <f aca="false">MAX(F62:AX62)</f>
        <v>0.814285714285714</v>
      </c>
      <c r="E62" s="2" t="str">
        <f aca="false">INDEX(Gebruikt!$B$4:$B$48,MATCH(D62,F62:AX62,0))</f>
        <v>Joint-pin peak analysis / peak-owner tracing and qubit-cap retuning</v>
      </c>
      <c r="F62" s="2" t="n">
        <f aca="false">1-SUMPRODUCT(ABS(Tekstboek!$AH$26:$AU$26-Gebruikt!$AH$4:$AU$4))/14</f>
        <v>0.621428571428571</v>
      </c>
      <c r="G62" s="2" t="n">
        <f aca="false">1-SUMPRODUCT(ABS(Tekstboek!$AH$26:$AU$26-Gebruikt!$AH$5:$AU$5))/14</f>
        <v>0.778571428571429</v>
      </c>
      <c r="H62" s="2" t="n">
        <f aca="false">1-SUMPRODUCT(ABS(Tekstboek!$AH$26:$AU$26-Gebruikt!$AH$6:$AU$6))/14</f>
        <v>0.778571428571429</v>
      </c>
      <c r="I62" s="2" t="n">
        <f aca="false">1-SUMPRODUCT(ABS(Tekstboek!$AH$26:$AU$26-Gebruikt!$AH$7:$AU$7))/14</f>
        <v>0.707142857142857</v>
      </c>
      <c r="J62" s="2" t="n">
        <f aca="false">1-SUMPRODUCT(ABS(Tekstboek!$AH$26:$AU$26-Gebruikt!$AH$8:$AU$8))/14</f>
        <v>0.814285714285714</v>
      </c>
      <c r="K62" s="2" t="n">
        <f aca="false">1-SUMPRODUCT(ABS(Tekstboek!$AH$26:$AU$26-Gebruikt!$AH$9:$AU$9))/14</f>
        <v>0.635714285714286</v>
      </c>
      <c r="L62" s="2" t="n">
        <f aca="false">1-SUMPRODUCT(ABS(Tekstboek!$AH$26:$AU$26-Gebruikt!$AH$10:$AU$10))/14</f>
        <v>0.635714285714286</v>
      </c>
      <c r="M62" s="2" t="n">
        <f aca="false">1-SUMPRODUCT(ABS(Tekstboek!$AH$26:$AU$26-Gebruikt!$AH$11:$AU$11))/14</f>
        <v>0.635714285714286</v>
      </c>
      <c r="N62" s="2" t="n">
        <f aca="false">1-SUMPRODUCT(ABS(Tekstboek!$AH$26:$AU$26-Gebruikt!$AH$12:$AU$12))/14</f>
        <v>0.6</v>
      </c>
      <c r="O62" s="2" t="n">
        <f aca="false">1-SUMPRODUCT(ABS(Tekstboek!$AH$26:$AU$26-Gebruikt!$AH$13:$AU$13))/14</f>
        <v>0.65</v>
      </c>
      <c r="P62" s="2" t="n">
        <f aca="false">1-SUMPRODUCT(ABS(Tekstboek!$AH$26:$AU$26-Gebruikt!$AH$14:$AU$14))/14</f>
        <v>0.707142857142857</v>
      </c>
      <c r="Q62" s="2" t="n">
        <f aca="false">1-SUMPRODUCT(ABS(Tekstboek!$AH$26:$AU$26-Gebruikt!$AH$15:$AU$15))/14</f>
        <v>0.778571428571429</v>
      </c>
      <c r="R62" s="2" t="n">
        <f aca="false">1-SUMPRODUCT(ABS(Tekstboek!$AH$26:$AU$26-Gebruikt!$AH$16:$AU$16))/14</f>
        <v>0.778571428571429</v>
      </c>
      <c r="S62" s="2" t="n">
        <f aca="false">1-SUMPRODUCT(ABS(Tekstboek!$AH$26:$AU$26-Gebruikt!$AH$17:$AU$17))/14</f>
        <v>0.671428571428572</v>
      </c>
      <c r="T62" s="2" t="n">
        <f aca="false">1-SUMPRODUCT(ABS(Tekstboek!$AH$26:$AU$26-Gebruikt!$AH$18:$AU$18))/14</f>
        <v>0.621428571428571</v>
      </c>
      <c r="U62" s="2" t="n">
        <f aca="false">1-SUMPRODUCT(ABS(Tekstboek!$AH$26:$AU$26-Gebruikt!$AH$19:$AU$19))/14</f>
        <v>0.707142857142857</v>
      </c>
      <c r="V62" s="2" t="n">
        <f aca="false">1-SUMPRODUCT(ABS(Tekstboek!$AH$26:$AU$26-Gebruikt!$AH$20:$AU$20))/14</f>
        <v>0.635714285714286</v>
      </c>
      <c r="W62" s="2" t="n">
        <f aca="false">1-SUMPRODUCT(ABS(Tekstboek!$AH$26:$AU$26-Gebruikt!$AH$21:$AU$21))/14</f>
        <v>0.778571428571429</v>
      </c>
      <c r="X62" s="2" t="n">
        <f aca="false">1-SUMPRODUCT(ABS(Tekstboek!$AH$26:$AU$26-Gebruikt!$AH$22:$AU$22))/14</f>
        <v>0.642857142857143</v>
      </c>
      <c r="Y62" s="2" t="n">
        <f aca="false">1-SUMPRODUCT(ABS(Tekstboek!$AH$26:$AU$26-Gebruikt!$AH$23:$AU$23))/14</f>
        <v>0.814285714285714</v>
      </c>
      <c r="Z62" s="2" t="n">
        <f aca="false">1-SUMPRODUCT(ABS(Tekstboek!$AH$26:$AU$26-Gebruikt!$AH$24:$AU$24))/14</f>
        <v>0.814285714285714</v>
      </c>
      <c r="AA62" s="2" t="n">
        <f aca="false">1-SUMPRODUCT(ABS(Tekstboek!$AH$26:$AU$26-Gebruikt!$AH$25:$AU$25))/14</f>
        <v>0.792857142857143</v>
      </c>
      <c r="AB62" s="2" t="n">
        <f aca="false">1-SUMPRODUCT(ABS(Tekstboek!$AH$26:$AU$26-Gebruikt!$AH$26:$AU$26))/14</f>
        <v>0.65</v>
      </c>
      <c r="AC62" s="2" t="n">
        <f aca="false">1-SUMPRODUCT(ABS(Tekstboek!$AH$26:$AU$26-Gebruikt!$AH$27:$AU$27))/14</f>
        <v>0.721428571428571</v>
      </c>
      <c r="AD62" s="2" t="n">
        <f aca="false">1-SUMPRODUCT(ABS(Tekstboek!$AH$26:$AU$26-Gebruikt!$AH$28:$AU$28))/14</f>
        <v>0.65</v>
      </c>
      <c r="AE62" s="2" t="n">
        <f aca="false">1-SUMPRODUCT(ABS(Tekstboek!$AH$26:$AU$26-Gebruikt!$AH$29:$AU$29))/14</f>
        <v>0.671428571428572</v>
      </c>
      <c r="AF62" s="2" t="n">
        <f aca="false">1-SUMPRODUCT(ABS(Tekstboek!$AH$26:$AU$26-Gebruikt!$AH$30:$AU$30))/14</f>
        <v>0.614285714285714</v>
      </c>
      <c r="AG62" s="2" t="n">
        <f aca="false">1-SUMPRODUCT(ABS(Tekstboek!$AH$26:$AU$26-Gebruikt!$AH$31:$AU$31))/14</f>
        <v>0.692857142857143</v>
      </c>
      <c r="AH62" s="2" t="n">
        <f aca="false">1-SUMPRODUCT(ABS(Tekstboek!$AH$26:$AU$26-Gebruikt!$AH$32:$AU$32))/14</f>
        <v>0.621428571428571</v>
      </c>
      <c r="AI62" s="2" t="n">
        <f aca="false">1-SUMPRODUCT(ABS(Tekstboek!$AH$26:$AU$26-Gebruikt!$AH$33:$AU$33))/14</f>
        <v>0.671428571428572</v>
      </c>
      <c r="AJ62" s="2" t="n">
        <f aca="false">1-SUMPRODUCT(ABS(Tekstboek!$AH$26:$AU$26-Gebruikt!$AH$34:$AU$34))/14</f>
        <v>0.778571428571429</v>
      </c>
      <c r="AK62" s="2" t="n">
        <f aca="false">1-SUMPRODUCT(ABS(Tekstboek!$AH$26:$AU$26-Gebruikt!$AH$35:$AU$35))/14</f>
        <v>0.814285714285714</v>
      </c>
      <c r="AL62" s="2" t="n">
        <f aca="false">1-SUMPRODUCT(ABS(Tekstboek!$AH$26:$AU$26-Gebruikt!$AH$36:$AU$36))/14</f>
        <v>0.692857142857143</v>
      </c>
      <c r="AM62" s="2" t="n">
        <f aca="false">1-SUMPRODUCT(ABS(Tekstboek!$AH$26:$AU$26-Gebruikt!$AH$37:$AU$37))/14</f>
        <v>0.55</v>
      </c>
      <c r="AN62" s="2" t="n">
        <f aca="false">1-SUMPRODUCT(ABS(Tekstboek!$AH$26:$AU$26-Gebruikt!$AH$38:$AU$38))/14</f>
        <v>0.671428571428572</v>
      </c>
      <c r="AO62" s="2" t="n">
        <f aca="false">1-SUMPRODUCT(ABS(Tekstboek!$AH$26:$AU$26-Gebruikt!$AH$39:$AU$39))/14</f>
        <v>0.564285714285714</v>
      </c>
      <c r="AP62" s="2" t="n">
        <f aca="false">1-SUMPRODUCT(ABS(Tekstboek!$AH$26:$AU$26-Gebruikt!$AH$40:$AU$40))/14</f>
        <v>0.635714285714286</v>
      </c>
      <c r="AQ62" s="2" t="n">
        <f aca="false">1-SUMPRODUCT(ABS(Tekstboek!$AH$26:$AU$26-Gebruikt!$AH$41:$AU$41))/14</f>
        <v>0.685714285714286</v>
      </c>
      <c r="AR62" s="2" t="n">
        <f aca="false">1-SUMPRODUCT(ABS(Tekstboek!$AH$26:$AU$26-Gebruikt!$AH$42:$AU$42))/14</f>
        <v>0.635714285714286</v>
      </c>
      <c r="AS62" s="2" t="n">
        <f aca="false">1-SUMPRODUCT(ABS(Tekstboek!$AH$26:$AU$26-Gebruikt!$AH$43:$AU$43))/14</f>
        <v>0.671428571428572</v>
      </c>
      <c r="AT62" s="2" t="n">
        <f aca="false">1-SUMPRODUCT(ABS(Tekstboek!$AH$26:$AU$26-Gebruikt!$AH$44:$AU$44))/14</f>
        <v>0.814285714285714</v>
      </c>
      <c r="AU62" s="2" t="n">
        <f aca="false">1-SUMPRODUCT(ABS(Tekstboek!$AH$26:$AU$26-Gebruikt!$AH$45:$AU$45))/14</f>
        <v>0.671428571428572</v>
      </c>
      <c r="AV62" s="2" t="n">
        <f aca="false">1-SUMPRODUCT(ABS(Tekstboek!$AH$26:$AU$26-Gebruikt!$AH$46:$AU$46))/14</f>
        <v>0.785714285714286</v>
      </c>
      <c r="AW62" s="2" t="n">
        <f aca="false">1-SUMPRODUCT(ABS(Tekstboek!$AH$26:$AU$26-Gebruikt!$AH$47:$AU$47))/14</f>
        <v>0.635714285714286</v>
      </c>
      <c r="AX62" s="2" t="n">
        <f aca="false">1-SUMPRODUCT(ABS(Tekstboek!$AH$26:$AU$26-Gebruikt!$AH$48:$AU$48))/14</f>
        <v>0.671428571428572</v>
      </c>
    </row>
    <row r="63" customFormat="false" ht="15" hidden="false" customHeight="false" outlineLevel="0" collapsed="false">
      <c r="A63" s="8" t="str">
        <f aca="false">Tekstboek!A27</f>
        <v>B24</v>
      </c>
      <c r="B63" s="8" t="str">
        <f aca="false">Tekstboek!B27</f>
        <v>[n-bit] Conditional negation (two's complement)</v>
      </c>
      <c r="C63" s="2" t="n">
        <f aca="false">1-D63</f>
        <v>0.15</v>
      </c>
      <c r="D63" s="2" t="n">
        <f aca="false">MAX(F63:AX63)</f>
        <v>0.85</v>
      </c>
      <c r="E63" s="2" t="str">
        <f aca="false">INDEX(Gebruikt!$B$4:$B$48,MATCH(D63,F63:AX63,0))</f>
        <v>Exact AND cache in idle wires</v>
      </c>
      <c r="F63" s="2" t="n">
        <f aca="false">1-SUMPRODUCT(ABS(Tekstboek!$AH$27:$AU$27-Gebruikt!$AH$4:$AU$4))/14</f>
        <v>0.557142857142857</v>
      </c>
      <c r="G63" s="2" t="n">
        <f aca="false">1-SUMPRODUCT(ABS(Tekstboek!$AH$27:$AU$27-Gebruikt!$AH$5:$AU$5))/14</f>
        <v>0.785714285714286</v>
      </c>
      <c r="H63" s="2" t="n">
        <f aca="false">1-SUMPRODUCT(ABS(Tekstboek!$AH$27:$AU$27-Gebruikt!$AH$6:$AU$6))/14</f>
        <v>0.785714285714286</v>
      </c>
      <c r="I63" s="2" t="n">
        <f aca="false">1-SUMPRODUCT(ABS(Tekstboek!$AH$27:$AU$27-Gebruikt!$AH$7:$AU$7))/14</f>
        <v>0.642857142857143</v>
      </c>
      <c r="J63" s="2" t="n">
        <f aca="false">1-SUMPRODUCT(ABS(Tekstboek!$AH$27:$AU$27-Gebruikt!$AH$8:$AU$8))/14</f>
        <v>0.75</v>
      </c>
      <c r="K63" s="2" t="n">
        <f aca="false">1-SUMPRODUCT(ABS(Tekstboek!$AH$27:$AU$27-Gebruikt!$AH$9:$AU$9))/14</f>
        <v>0.671428571428572</v>
      </c>
      <c r="L63" s="2" t="n">
        <f aca="false">1-SUMPRODUCT(ABS(Tekstboek!$AH$27:$AU$27-Gebruikt!$AH$10:$AU$10))/14</f>
        <v>0.671428571428572</v>
      </c>
      <c r="M63" s="2" t="n">
        <f aca="false">1-SUMPRODUCT(ABS(Tekstboek!$AH$27:$AU$27-Gebruikt!$AH$11:$AU$11))/14</f>
        <v>0.671428571428572</v>
      </c>
      <c r="N63" s="2" t="n">
        <f aca="false">1-SUMPRODUCT(ABS(Tekstboek!$AH$27:$AU$27-Gebruikt!$AH$12:$AU$12))/14</f>
        <v>0.635714285714286</v>
      </c>
      <c r="O63" s="2" t="n">
        <f aca="false">1-SUMPRODUCT(ABS(Tekstboek!$AH$27:$AU$27-Gebruikt!$AH$13:$AU$13))/14</f>
        <v>0.585714285714286</v>
      </c>
      <c r="P63" s="2" t="n">
        <f aca="false">1-SUMPRODUCT(ABS(Tekstboek!$AH$27:$AU$27-Gebruikt!$AH$14:$AU$14))/14</f>
        <v>0.742857142857143</v>
      </c>
      <c r="Q63" s="2" t="n">
        <f aca="false">1-SUMPRODUCT(ABS(Tekstboek!$AH$27:$AU$27-Gebruikt!$AH$15:$AU$15))/14</f>
        <v>0.814285714285714</v>
      </c>
      <c r="R63" s="2" t="n">
        <f aca="false">1-SUMPRODUCT(ABS(Tekstboek!$AH$27:$AU$27-Gebruikt!$AH$16:$AU$16))/14</f>
        <v>0.814285714285714</v>
      </c>
      <c r="S63" s="2" t="n">
        <f aca="false">1-SUMPRODUCT(ABS(Tekstboek!$AH$27:$AU$27-Gebruikt!$AH$17:$AU$17))/14</f>
        <v>0.707142857142857</v>
      </c>
      <c r="T63" s="2" t="n">
        <f aca="false">1-SUMPRODUCT(ABS(Tekstboek!$AH$27:$AU$27-Gebruikt!$AH$18:$AU$18))/14</f>
        <v>0.557142857142857</v>
      </c>
      <c r="U63" s="2" t="n">
        <f aca="false">1-SUMPRODUCT(ABS(Tekstboek!$AH$27:$AU$27-Gebruikt!$AH$19:$AU$19))/14</f>
        <v>0.642857142857143</v>
      </c>
      <c r="V63" s="2" t="n">
        <f aca="false">1-SUMPRODUCT(ABS(Tekstboek!$AH$27:$AU$27-Gebruikt!$AH$20:$AU$20))/14</f>
        <v>0.671428571428572</v>
      </c>
      <c r="W63" s="2" t="n">
        <f aca="false">1-SUMPRODUCT(ABS(Tekstboek!$AH$27:$AU$27-Gebruikt!$AH$21:$AU$21))/14</f>
        <v>0.785714285714286</v>
      </c>
      <c r="X63" s="2" t="n">
        <f aca="false">1-SUMPRODUCT(ABS(Tekstboek!$AH$27:$AU$27-Gebruikt!$AH$22:$AU$22))/14</f>
        <v>0.578571428571429</v>
      </c>
      <c r="Y63" s="2" t="n">
        <f aca="false">1-SUMPRODUCT(ABS(Tekstboek!$AH$27:$AU$27-Gebruikt!$AH$23:$AU$23))/14</f>
        <v>0.75</v>
      </c>
      <c r="Z63" s="2" t="n">
        <f aca="false">1-SUMPRODUCT(ABS(Tekstboek!$AH$27:$AU$27-Gebruikt!$AH$24:$AU$24))/14</f>
        <v>0.75</v>
      </c>
      <c r="AA63" s="2" t="n">
        <f aca="false">1-SUMPRODUCT(ABS(Tekstboek!$AH$27:$AU$27-Gebruikt!$AH$25:$AU$25))/14</f>
        <v>0.728571428571429</v>
      </c>
      <c r="AB63" s="2" t="n">
        <f aca="false">1-SUMPRODUCT(ABS(Tekstboek!$AH$27:$AU$27-Gebruikt!$AH$26:$AU$26))/14</f>
        <v>0.585714285714286</v>
      </c>
      <c r="AC63" s="2" t="n">
        <f aca="false">1-SUMPRODUCT(ABS(Tekstboek!$AH$27:$AU$27-Gebruikt!$AH$27:$AU$27))/14</f>
        <v>0.657142857142857</v>
      </c>
      <c r="AD63" s="2" t="n">
        <f aca="false">1-SUMPRODUCT(ABS(Tekstboek!$AH$27:$AU$27-Gebruikt!$AH$28:$AU$28))/14</f>
        <v>0.585714285714286</v>
      </c>
      <c r="AE63" s="2" t="n">
        <f aca="false">1-SUMPRODUCT(ABS(Tekstboek!$AH$27:$AU$27-Gebruikt!$AH$29:$AU$29))/14</f>
        <v>0.678571428571429</v>
      </c>
      <c r="AF63" s="2" t="n">
        <f aca="false">1-SUMPRODUCT(ABS(Tekstboek!$AH$27:$AU$27-Gebruikt!$AH$30:$AU$30))/14</f>
        <v>0.65</v>
      </c>
      <c r="AG63" s="2" t="n">
        <f aca="false">1-SUMPRODUCT(ABS(Tekstboek!$AH$27:$AU$27-Gebruikt!$AH$31:$AU$31))/14</f>
        <v>0.628571428571429</v>
      </c>
      <c r="AH63" s="2" t="n">
        <f aca="false">1-SUMPRODUCT(ABS(Tekstboek!$AH$27:$AU$27-Gebruikt!$AH$32:$AU$32))/14</f>
        <v>0.557142857142857</v>
      </c>
      <c r="AI63" s="2" t="n">
        <f aca="false">1-SUMPRODUCT(ABS(Tekstboek!$AH$27:$AU$27-Gebruikt!$AH$33:$AU$33))/14</f>
        <v>0.678571428571429</v>
      </c>
      <c r="AJ63" s="2" t="n">
        <f aca="false">1-SUMPRODUCT(ABS(Tekstboek!$AH$27:$AU$27-Gebruikt!$AH$34:$AU$34))/14</f>
        <v>0.785714285714286</v>
      </c>
      <c r="AK63" s="2" t="n">
        <f aca="false">1-SUMPRODUCT(ABS(Tekstboek!$AH$27:$AU$27-Gebruikt!$AH$35:$AU$35))/14</f>
        <v>0.75</v>
      </c>
      <c r="AL63" s="2" t="n">
        <f aca="false">1-SUMPRODUCT(ABS(Tekstboek!$AH$27:$AU$27-Gebruikt!$AH$36:$AU$36))/14</f>
        <v>0.628571428571429</v>
      </c>
      <c r="AM63" s="2" t="n">
        <f aca="false">1-SUMPRODUCT(ABS(Tekstboek!$AH$27:$AU$27-Gebruikt!$AH$37:$AU$37))/14</f>
        <v>0.485714285714286</v>
      </c>
      <c r="AN63" s="2" t="n">
        <f aca="false">1-SUMPRODUCT(ABS(Tekstboek!$AH$27:$AU$27-Gebruikt!$AH$38:$AU$38))/14</f>
        <v>0.678571428571429</v>
      </c>
      <c r="AO63" s="2" t="n">
        <f aca="false">1-SUMPRODUCT(ABS(Tekstboek!$AH$27:$AU$27-Gebruikt!$AH$39:$AU$39))/14</f>
        <v>0.5</v>
      </c>
      <c r="AP63" s="2" t="n">
        <f aca="false">1-SUMPRODUCT(ABS(Tekstboek!$AH$27:$AU$27-Gebruikt!$AH$40:$AU$40))/14</f>
        <v>0.671428571428572</v>
      </c>
      <c r="AQ63" s="2" t="n">
        <f aca="false">1-SUMPRODUCT(ABS(Tekstboek!$AH$27:$AU$27-Gebruikt!$AH$41:$AU$41))/14</f>
        <v>0.721428571428571</v>
      </c>
      <c r="AR63" s="2" t="n">
        <f aca="false">1-SUMPRODUCT(ABS(Tekstboek!$AH$27:$AU$27-Gebruikt!$AH$42:$AU$42))/14</f>
        <v>0.671428571428572</v>
      </c>
      <c r="AS63" s="2" t="n">
        <f aca="false">1-SUMPRODUCT(ABS(Tekstboek!$AH$27:$AU$27-Gebruikt!$AH$43:$AU$43))/14</f>
        <v>0.707142857142857</v>
      </c>
      <c r="AT63" s="2" t="n">
        <f aca="false">1-SUMPRODUCT(ABS(Tekstboek!$AH$27:$AU$27-Gebruikt!$AH$44:$AU$44))/14</f>
        <v>0.85</v>
      </c>
      <c r="AU63" s="2" t="n">
        <f aca="false">1-SUMPRODUCT(ABS(Tekstboek!$AH$27:$AU$27-Gebruikt!$AH$45:$AU$45))/14</f>
        <v>0.707142857142857</v>
      </c>
      <c r="AV63" s="2" t="n">
        <f aca="false">1-SUMPRODUCT(ABS(Tekstboek!$AH$27:$AU$27-Gebruikt!$AH$46:$AU$46))/14</f>
        <v>0.721428571428571</v>
      </c>
      <c r="AW63" s="2" t="n">
        <f aca="false">1-SUMPRODUCT(ABS(Tekstboek!$AH$27:$AU$27-Gebruikt!$AH$47:$AU$47))/14</f>
        <v>0.671428571428572</v>
      </c>
      <c r="AX63" s="2" t="n">
        <f aca="false">1-SUMPRODUCT(ABS(Tekstboek!$AH$27:$AU$27-Gebruikt!$AH$48:$AU$48))/14</f>
        <v>0.707142857142857</v>
      </c>
    </row>
    <row r="64" customFormat="false" ht="15" hidden="false" customHeight="false" outlineLevel="0" collapsed="false">
      <c r="A64" s="8" t="str">
        <f aca="false">Tekstboek!A28</f>
        <v>B25</v>
      </c>
      <c r="B64" s="8" t="str">
        <f aca="false">Tekstboek!B28</f>
        <v>[n-bit] Barrel shifter (log Fredkin stages)</v>
      </c>
      <c r="C64" s="2" t="n">
        <f aca="false">1-D64</f>
        <v>0.221428571428571</v>
      </c>
      <c r="D64" s="2" t="n">
        <f aca="false">MAX(F64:AX64)</f>
        <v>0.778571428571429</v>
      </c>
      <c r="E64" s="2" t="str">
        <f aca="false">INDEX(Gebruikt!$B$4:$B$48,MATCH(D64,F64:AX64,0))</f>
        <v>Exact AND cache in idle wires</v>
      </c>
      <c r="F64" s="2" t="n">
        <f aca="false">1-SUMPRODUCT(ABS(Tekstboek!$AH$28:$AU$28-Gebruikt!$AH$4:$AU$4))/14</f>
        <v>0.657142857142857</v>
      </c>
      <c r="G64" s="2" t="n">
        <f aca="false">1-SUMPRODUCT(ABS(Tekstboek!$AH$28:$AU$28-Gebruikt!$AH$5:$AU$5))/14</f>
        <v>0.742857142857143</v>
      </c>
      <c r="H64" s="2" t="n">
        <f aca="false">1-SUMPRODUCT(ABS(Tekstboek!$AH$28:$AU$28-Gebruikt!$AH$6:$AU$6))/14</f>
        <v>0.742857142857143</v>
      </c>
      <c r="I64" s="2" t="n">
        <f aca="false">1-SUMPRODUCT(ABS(Tekstboek!$AH$28:$AU$28-Gebruikt!$AH$7:$AU$7))/14</f>
        <v>0.6</v>
      </c>
      <c r="J64" s="2" t="n">
        <f aca="false">1-SUMPRODUCT(ABS(Tekstboek!$AH$28:$AU$28-Gebruikt!$AH$8:$AU$8))/14</f>
        <v>0.707142857142857</v>
      </c>
      <c r="K64" s="2" t="n">
        <f aca="false">1-SUMPRODUCT(ABS(Tekstboek!$AH$28:$AU$28-Gebruikt!$AH$9:$AU$9))/14</f>
        <v>0.742857142857143</v>
      </c>
      <c r="L64" s="2" t="n">
        <f aca="false">1-SUMPRODUCT(ABS(Tekstboek!$AH$28:$AU$28-Gebruikt!$AH$10:$AU$10))/14</f>
        <v>0.742857142857143</v>
      </c>
      <c r="M64" s="2" t="n">
        <f aca="false">1-SUMPRODUCT(ABS(Tekstboek!$AH$28:$AU$28-Gebruikt!$AH$11:$AU$11))/14</f>
        <v>0.742857142857143</v>
      </c>
      <c r="N64" s="2" t="n">
        <f aca="false">1-SUMPRODUCT(ABS(Tekstboek!$AH$28:$AU$28-Gebruikt!$AH$12:$AU$12))/14</f>
        <v>0.707142857142857</v>
      </c>
      <c r="O64" s="2" t="n">
        <f aca="false">1-SUMPRODUCT(ABS(Tekstboek!$AH$28:$AU$28-Gebruikt!$AH$13:$AU$13))/14</f>
        <v>0.542857142857143</v>
      </c>
      <c r="P64" s="2" t="n">
        <f aca="false">1-SUMPRODUCT(ABS(Tekstboek!$AH$28:$AU$28-Gebruikt!$AH$14:$AU$14))/14</f>
        <v>0.671428571428572</v>
      </c>
      <c r="Q64" s="2" t="n">
        <f aca="false">1-SUMPRODUCT(ABS(Tekstboek!$AH$28:$AU$28-Gebruikt!$AH$15:$AU$15))/14</f>
        <v>0.742857142857143</v>
      </c>
      <c r="R64" s="2" t="n">
        <f aca="false">1-SUMPRODUCT(ABS(Tekstboek!$AH$28:$AU$28-Gebruikt!$AH$16:$AU$16))/14</f>
        <v>0.742857142857143</v>
      </c>
      <c r="S64" s="2" t="n">
        <f aca="false">1-SUMPRODUCT(ABS(Tekstboek!$AH$28:$AU$28-Gebruikt!$AH$17:$AU$17))/14</f>
        <v>0.635714285714286</v>
      </c>
      <c r="T64" s="2" t="n">
        <f aca="false">1-SUMPRODUCT(ABS(Tekstboek!$AH$28:$AU$28-Gebruikt!$AH$18:$AU$18))/14</f>
        <v>0.657142857142857</v>
      </c>
      <c r="U64" s="2" t="n">
        <f aca="false">1-SUMPRODUCT(ABS(Tekstboek!$AH$28:$AU$28-Gebruikt!$AH$19:$AU$19))/14</f>
        <v>0.742857142857143</v>
      </c>
      <c r="V64" s="2" t="n">
        <f aca="false">1-SUMPRODUCT(ABS(Tekstboek!$AH$28:$AU$28-Gebruikt!$AH$20:$AU$20))/14</f>
        <v>0.742857142857143</v>
      </c>
      <c r="W64" s="2" t="n">
        <f aca="false">1-SUMPRODUCT(ABS(Tekstboek!$AH$28:$AU$28-Gebruikt!$AH$21:$AU$21))/14</f>
        <v>0.742857142857143</v>
      </c>
      <c r="X64" s="2" t="n">
        <f aca="false">1-SUMPRODUCT(ABS(Tekstboek!$AH$28:$AU$28-Gebruikt!$AH$22:$AU$22))/14</f>
        <v>0.535714285714286</v>
      </c>
      <c r="Y64" s="2" t="n">
        <f aca="false">1-SUMPRODUCT(ABS(Tekstboek!$AH$28:$AU$28-Gebruikt!$AH$23:$AU$23))/14</f>
        <v>0.707142857142857</v>
      </c>
      <c r="Z64" s="2" t="n">
        <f aca="false">1-SUMPRODUCT(ABS(Tekstboek!$AH$28:$AU$28-Gebruikt!$AH$24:$AU$24))/14</f>
        <v>0.707142857142857</v>
      </c>
      <c r="AA64" s="2" t="n">
        <f aca="false">1-SUMPRODUCT(ABS(Tekstboek!$AH$28:$AU$28-Gebruikt!$AH$25:$AU$25))/14</f>
        <v>0.685714285714286</v>
      </c>
      <c r="AB64" s="2" t="n">
        <f aca="false">1-SUMPRODUCT(ABS(Tekstboek!$AH$28:$AU$28-Gebruikt!$AH$26:$AU$26))/14</f>
        <v>0.542857142857143</v>
      </c>
      <c r="AC64" s="2" t="n">
        <f aca="false">1-SUMPRODUCT(ABS(Tekstboek!$AH$28:$AU$28-Gebruikt!$AH$27:$AU$27))/14</f>
        <v>0.614285714285714</v>
      </c>
      <c r="AD64" s="2" t="n">
        <f aca="false">1-SUMPRODUCT(ABS(Tekstboek!$AH$28:$AU$28-Gebruikt!$AH$28:$AU$28))/14</f>
        <v>0.542857142857143</v>
      </c>
      <c r="AE64" s="2" t="n">
        <f aca="false">1-SUMPRODUCT(ABS(Tekstboek!$AH$28:$AU$28-Gebruikt!$AH$29:$AU$29))/14</f>
        <v>0.635714285714286</v>
      </c>
      <c r="AF64" s="2" t="n">
        <f aca="false">1-SUMPRODUCT(ABS(Tekstboek!$AH$28:$AU$28-Gebruikt!$AH$30:$AU$30))/14</f>
        <v>0.578571428571429</v>
      </c>
      <c r="AG64" s="2" t="n">
        <f aca="false">1-SUMPRODUCT(ABS(Tekstboek!$AH$28:$AU$28-Gebruikt!$AH$31:$AU$31))/14</f>
        <v>0.728571428571429</v>
      </c>
      <c r="AH64" s="2" t="n">
        <f aca="false">1-SUMPRODUCT(ABS(Tekstboek!$AH$28:$AU$28-Gebruikt!$AH$32:$AU$32))/14</f>
        <v>0.657142857142857</v>
      </c>
      <c r="AI64" s="2" t="n">
        <f aca="false">1-SUMPRODUCT(ABS(Tekstboek!$AH$28:$AU$28-Gebruikt!$AH$33:$AU$33))/14</f>
        <v>0.635714285714286</v>
      </c>
      <c r="AJ64" s="2" t="n">
        <f aca="false">1-SUMPRODUCT(ABS(Tekstboek!$AH$28:$AU$28-Gebruikt!$AH$34:$AU$34))/14</f>
        <v>0.742857142857143</v>
      </c>
      <c r="AK64" s="2" t="n">
        <f aca="false">1-SUMPRODUCT(ABS(Tekstboek!$AH$28:$AU$28-Gebruikt!$AH$35:$AU$35))/14</f>
        <v>0.707142857142857</v>
      </c>
      <c r="AL64" s="2" t="n">
        <f aca="false">1-SUMPRODUCT(ABS(Tekstboek!$AH$28:$AU$28-Gebruikt!$AH$36:$AU$36))/14</f>
        <v>0.728571428571429</v>
      </c>
      <c r="AM64" s="2" t="n">
        <f aca="false">1-SUMPRODUCT(ABS(Tekstboek!$AH$28:$AU$28-Gebruikt!$AH$37:$AU$37))/14</f>
        <v>0.585714285714286</v>
      </c>
      <c r="AN64" s="2" t="n">
        <f aca="false">1-SUMPRODUCT(ABS(Tekstboek!$AH$28:$AU$28-Gebruikt!$AH$38:$AU$38))/14</f>
        <v>0.635714285714286</v>
      </c>
      <c r="AO64" s="2" t="n">
        <f aca="false">1-SUMPRODUCT(ABS(Tekstboek!$AH$28:$AU$28-Gebruikt!$AH$39:$AU$39))/14</f>
        <v>0.6</v>
      </c>
      <c r="AP64" s="2" t="n">
        <f aca="false">1-SUMPRODUCT(ABS(Tekstboek!$AH$28:$AU$28-Gebruikt!$AH$40:$AU$40))/14</f>
        <v>0.742857142857143</v>
      </c>
      <c r="AQ64" s="2" t="n">
        <f aca="false">1-SUMPRODUCT(ABS(Tekstboek!$AH$28:$AU$28-Gebruikt!$AH$41:$AU$41))/14</f>
        <v>0.65</v>
      </c>
      <c r="AR64" s="2" t="n">
        <f aca="false">1-SUMPRODUCT(ABS(Tekstboek!$AH$28:$AU$28-Gebruikt!$AH$42:$AU$42))/14</f>
        <v>0.742857142857143</v>
      </c>
      <c r="AS64" s="2" t="n">
        <f aca="false">1-SUMPRODUCT(ABS(Tekstboek!$AH$28:$AU$28-Gebruikt!$AH$43:$AU$43))/14</f>
        <v>0.635714285714286</v>
      </c>
      <c r="AT64" s="2" t="n">
        <f aca="false">1-SUMPRODUCT(ABS(Tekstboek!$AH$28:$AU$28-Gebruikt!$AH$44:$AU$44))/14</f>
        <v>0.778571428571429</v>
      </c>
      <c r="AU64" s="2" t="n">
        <f aca="false">1-SUMPRODUCT(ABS(Tekstboek!$AH$28:$AU$28-Gebruikt!$AH$45:$AU$45))/14</f>
        <v>0.635714285714286</v>
      </c>
      <c r="AV64" s="2" t="n">
        <f aca="false">1-SUMPRODUCT(ABS(Tekstboek!$AH$28:$AU$28-Gebruikt!$AH$46:$AU$46))/14</f>
        <v>0.678571428571429</v>
      </c>
      <c r="AW64" s="2" t="n">
        <f aca="false">1-SUMPRODUCT(ABS(Tekstboek!$AH$28:$AU$28-Gebruikt!$AH$47:$AU$47))/14</f>
        <v>0.742857142857143</v>
      </c>
      <c r="AX64" s="2" t="n">
        <f aca="false">1-SUMPRODUCT(ABS(Tekstboek!$AH$28:$AU$28-Gebruikt!$AH$48:$AU$48))/14</f>
        <v>0.635714285714286</v>
      </c>
    </row>
    <row r="65" customFormat="false" ht="15" hidden="false" customHeight="false" outlineLevel="0" collapsed="false">
      <c r="A65" s="8" t="str">
        <f aca="false">Tekstboek!A29</f>
        <v>B26</v>
      </c>
      <c r="B65" s="8" t="str">
        <f aca="false">Tekstboek!B29</f>
        <v>[n-bit] Modular adder (VBE 5 adders / Beauregard)</v>
      </c>
      <c r="C65" s="2" t="n">
        <f aca="false">1-D65</f>
        <v>0.1</v>
      </c>
      <c r="D65" s="2" t="n">
        <f aca="false">MAX(F65:AX65)</f>
        <v>0.9</v>
      </c>
      <c r="E65" s="2" t="str">
        <f aca="false">INDEX(Gebruikt!$B$4:$B$48,MATCH(D65,F65:AX65,0))</f>
        <v>Karatsuba squaring (recursive, in place)</v>
      </c>
      <c r="F65" s="2" t="n">
        <f aca="false">1-SUMPRODUCT(ABS(Tekstboek!$AH$29:$AU$29-Gebruikt!$AH$4:$AU$4))/14</f>
        <v>0.728571428571429</v>
      </c>
      <c r="G65" s="2" t="n">
        <f aca="false">1-SUMPRODUCT(ABS(Tekstboek!$AH$29:$AU$29-Gebruikt!$AH$5:$AU$5))/14</f>
        <v>0.671428571428572</v>
      </c>
      <c r="H65" s="2" t="n">
        <f aca="false">1-SUMPRODUCT(ABS(Tekstboek!$AH$29:$AU$29-Gebruikt!$AH$6:$AU$6))/14</f>
        <v>0.671428571428572</v>
      </c>
      <c r="I65" s="2" t="n">
        <f aca="false">1-SUMPRODUCT(ABS(Tekstboek!$AH$29:$AU$29-Gebruikt!$AH$7:$AU$7))/14</f>
        <v>0.6</v>
      </c>
      <c r="J65" s="2" t="n">
        <f aca="false">1-SUMPRODUCT(ABS(Tekstboek!$AH$29:$AU$29-Gebruikt!$AH$8:$AU$8))/14</f>
        <v>0.707142857142857</v>
      </c>
      <c r="K65" s="2" t="n">
        <f aca="false">1-SUMPRODUCT(ABS(Tekstboek!$AH$29:$AU$29-Gebruikt!$AH$9:$AU$9))/14</f>
        <v>0.528571428571429</v>
      </c>
      <c r="L65" s="2" t="n">
        <f aca="false">1-SUMPRODUCT(ABS(Tekstboek!$AH$29:$AU$29-Gebruikt!$AH$10:$AU$10))/14</f>
        <v>0.528571428571429</v>
      </c>
      <c r="M65" s="2" t="n">
        <f aca="false">1-SUMPRODUCT(ABS(Tekstboek!$AH$29:$AU$29-Gebruikt!$AH$11:$AU$11))/14</f>
        <v>0.528571428571429</v>
      </c>
      <c r="N65" s="2" t="n">
        <f aca="false">1-SUMPRODUCT(ABS(Tekstboek!$AH$29:$AU$29-Gebruikt!$AH$12:$AU$12))/14</f>
        <v>0.492857142857143</v>
      </c>
      <c r="O65" s="2" t="n">
        <f aca="false">1-SUMPRODUCT(ABS(Tekstboek!$AH$29:$AU$29-Gebruikt!$AH$13:$AU$13))/14</f>
        <v>0.757142857142857</v>
      </c>
      <c r="P65" s="2" t="n">
        <f aca="false">1-SUMPRODUCT(ABS(Tekstboek!$AH$29:$AU$29-Gebruikt!$AH$14:$AU$14))/14</f>
        <v>0.6</v>
      </c>
      <c r="Q65" s="2" t="n">
        <f aca="false">1-SUMPRODUCT(ABS(Tekstboek!$AH$29:$AU$29-Gebruikt!$AH$15:$AU$15))/14</f>
        <v>0.671428571428572</v>
      </c>
      <c r="R65" s="2" t="n">
        <f aca="false">1-SUMPRODUCT(ABS(Tekstboek!$AH$29:$AU$29-Gebruikt!$AH$16:$AU$16))/14</f>
        <v>0.671428571428572</v>
      </c>
      <c r="S65" s="2" t="n">
        <f aca="false">1-SUMPRODUCT(ABS(Tekstboek!$AH$29:$AU$29-Gebruikt!$AH$17:$AU$17))/14</f>
        <v>0.564285714285714</v>
      </c>
      <c r="T65" s="2" t="n">
        <f aca="false">1-SUMPRODUCT(ABS(Tekstboek!$AH$29:$AU$29-Gebruikt!$AH$18:$AU$18))/14</f>
        <v>0.728571428571429</v>
      </c>
      <c r="U65" s="2" t="n">
        <f aca="false">1-SUMPRODUCT(ABS(Tekstboek!$AH$29:$AU$29-Gebruikt!$AH$19:$AU$19))/14</f>
        <v>0.814285714285714</v>
      </c>
      <c r="V65" s="2" t="n">
        <f aca="false">1-SUMPRODUCT(ABS(Tekstboek!$AH$29:$AU$29-Gebruikt!$AH$20:$AU$20))/14</f>
        <v>0.528571428571429</v>
      </c>
      <c r="W65" s="2" t="n">
        <f aca="false">1-SUMPRODUCT(ABS(Tekstboek!$AH$29:$AU$29-Gebruikt!$AH$21:$AU$21))/14</f>
        <v>0.671428571428572</v>
      </c>
      <c r="X65" s="2" t="n">
        <f aca="false">1-SUMPRODUCT(ABS(Tekstboek!$AH$29:$AU$29-Gebruikt!$AH$22:$AU$22))/14</f>
        <v>0.75</v>
      </c>
      <c r="Y65" s="2" t="n">
        <f aca="false">1-SUMPRODUCT(ABS(Tekstboek!$AH$29:$AU$29-Gebruikt!$AH$23:$AU$23))/14</f>
        <v>0.707142857142857</v>
      </c>
      <c r="Z65" s="2" t="n">
        <f aca="false">1-SUMPRODUCT(ABS(Tekstboek!$AH$29:$AU$29-Gebruikt!$AH$24:$AU$24))/14</f>
        <v>0.707142857142857</v>
      </c>
      <c r="AA65" s="2" t="n">
        <f aca="false">1-SUMPRODUCT(ABS(Tekstboek!$AH$29:$AU$29-Gebruikt!$AH$25:$AU$25))/14</f>
        <v>0.9</v>
      </c>
      <c r="AB65" s="2" t="n">
        <f aca="false">1-SUMPRODUCT(ABS(Tekstboek!$AH$29:$AU$29-Gebruikt!$AH$26:$AU$26))/14</f>
        <v>0.757142857142857</v>
      </c>
      <c r="AC65" s="2" t="n">
        <f aca="false">1-SUMPRODUCT(ABS(Tekstboek!$AH$29:$AU$29-Gebruikt!$AH$27:$AU$27))/14</f>
        <v>0.828571428571429</v>
      </c>
      <c r="AD65" s="2" t="n">
        <f aca="false">1-SUMPRODUCT(ABS(Tekstboek!$AH$29:$AU$29-Gebruikt!$AH$28:$AU$28))/14</f>
        <v>0.757142857142857</v>
      </c>
      <c r="AE65" s="2" t="n">
        <f aca="false">1-SUMPRODUCT(ABS(Tekstboek!$AH$29:$AU$29-Gebruikt!$AH$29:$AU$29))/14</f>
        <v>0.564285714285714</v>
      </c>
      <c r="AF65" s="2" t="n">
        <f aca="false">1-SUMPRODUCT(ABS(Tekstboek!$AH$29:$AU$29-Gebruikt!$AH$30:$AU$30))/14</f>
        <v>0.507142857142857</v>
      </c>
      <c r="AG65" s="2" t="n">
        <f aca="false">1-SUMPRODUCT(ABS(Tekstboek!$AH$29:$AU$29-Gebruikt!$AH$31:$AU$31))/14</f>
        <v>0.8</v>
      </c>
      <c r="AH65" s="2" t="n">
        <f aca="false">1-SUMPRODUCT(ABS(Tekstboek!$AH$29:$AU$29-Gebruikt!$AH$32:$AU$32))/14</f>
        <v>0.728571428571429</v>
      </c>
      <c r="AI65" s="2" t="n">
        <f aca="false">1-SUMPRODUCT(ABS(Tekstboek!$AH$29:$AU$29-Gebruikt!$AH$33:$AU$33))/14</f>
        <v>0.564285714285714</v>
      </c>
      <c r="AJ65" s="2" t="n">
        <f aca="false">1-SUMPRODUCT(ABS(Tekstboek!$AH$29:$AU$29-Gebruikt!$AH$34:$AU$34))/14</f>
        <v>0.671428571428572</v>
      </c>
      <c r="AK65" s="2" t="n">
        <f aca="false">1-SUMPRODUCT(ABS(Tekstboek!$AH$29:$AU$29-Gebruikt!$AH$35:$AU$35))/14</f>
        <v>0.707142857142857</v>
      </c>
      <c r="AL65" s="2" t="n">
        <f aca="false">1-SUMPRODUCT(ABS(Tekstboek!$AH$29:$AU$29-Gebruikt!$AH$36:$AU$36))/14</f>
        <v>0.8</v>
      </c>
      <c r="AM65" s="2" t="n">
        <f aca="false">1-SUMPRODUCT(ABS(Tekstboek!$AH$29:$AU$29-Gebruikt!$AH$37:$AU$37))/14</f>
        <v>0.657142857142857</v>
      </c>
      <c r="AN65" s="2" t="n">
        <f aca="false">1-SUMPRODUCT(ABS(Tekstboek!$AH$29:$AU$29-Gebruikt!$AH$38:$AU$38))/14</f>
        <v>0.564285714285714</v>
      </c>
      <c r="AO65" s="2" t="n">
        <f aca="false">1-SUMPRODUCT(ABS(Tekstboek!$AH$29:$AU$29-Gebruikt!$AH$39:$AU$39))/14</f>
        <v>0.671428571428572</v>
      </c>
      <c r="AP65" s="2" t="n">
        <f aca="false">1-SUMPRODUCT(ABS(Tekstboek!$AH$29:$AU$29-Gebruikt!$AH$40:$AU$40))/14</f>
        <v>0.528571428571429</v>
      </c>
      <c r="AQ65" s="2" t="n">
        <f aca="false">1-SUMPRODUCT(ABS(Tekstboek!$AH$29:$AU$29-Gebruikt!$AH$41:$AU$41))/14</f>
        <v>0.578571428571429</v>
      </c>
      <c r="AR65" s="2" t="n">
        <f aca="false">1-SUMPRODUCT(ABS(Tekstboek!$AH$29:$AU$29-Gebruikt!$AH$42:$AU$42))/14</f>
        <v>0.528571428571429</v>
      </c>
      <c r="AS65" s="2" t="n">
        <f aca="false">1-SUMPRODUCT(ABS(Tekstboek!$AH$29:$AU$29-Gebruikt!$AH$43:$AU$43))/14</f>
        <v>0.564285714285714</v>
      </c>
      <c r="AT65" s="2" t="n">
        <f aca="false">1-SUMPRODUCT(ABS(Tekstboek!$AH$29:$AU$29-Gebruikt!$AH$44:$AU$44))/14</f>
        <v>0.707142857142857</v>
      </c>
      <c r="AU65" s="2" t="n">
        <f aca="false">1-SUMPRODUCT(ABS(Tekstboek!$AH$29:$AU$29-Gebruikt!$AH$45:$AU$45))/14</f>
        <v>0.564285714285714</v>
      </c>
      <c r="AV65" s="2" t="n">
        <f aca="false">1-SUMPRODUCT(ABS(Tekstboek!$AH$29:$AU$29-Gebruikt!$AH$46:$AU$46))/14</f>
        <v>0.892857142857143</v>
      </c>
      <c r="AW65" s="2" t="n">
        <f aca="false">1-SUMPRODUCT(ABS(Tekstboek!$AH$29:$AU$29-Gebruikt!$AH$47:$AU$47))/14</f>
        <v>0.528571428571429</v>
      </c>
      <c r="AX65" s="2" t="n">
        <f aca="false">1-SUMPRODUCT(ABS(Tekstboek!$AH$29:$AU$29-Gebruikt!$AH$48:$AU$48))/14</f>
        <v>0.564285714285714</v>
      </c>
    </row>
    <row r="66" customFormat="false" ht="15" hidden="false" customHeight="false" outlineLevel="0" collapsed="false">
      <c r="A66" s="8" t="str">
        <f aca="false">Tekstboek!A30</f>
        <v>B27</v>
      </c>
      <c r="B66" s="8" t="str">
        <f aca="false">Tekstboek!B30</f>
        <v>[n-bit] Modular halving x/2 mod p (parity, +p, compare erase)</v>
      </c>
      <c r="C66" s="2" t="n">
        <f aca="false">1-D66</f>
        <v>0.185714285714286</v>
      </c>
      <c r="D66" s="2" t="n">
        <f aca="false">MAX(F66:AX66)</f>
        <v>0.814285714285714</v>
      </c>
      <c r="E66" s="2" t="str">
        <f aca="false">INDEX(Gebruikt!$B$4:$B$48,MATCH(D66,F66:AX66,0))</f>
        <v>Karatsuba squaring (recursive, in place)</v>
      </c>
      <c r="F66" s="2" t="n">
        <f aca="false">1-SUMPRODUCT(ABS(Tekstboek!$AH$30:$AU$30-Gebruikt!$AH$4:$AU$4))/14</f>
        <v>0.642857142857143</v>
      </c>
      <c r="G66" s="2" t="n">
        <f aca="false">1-SUMPRODUCT(ABS(Tekstboek!$AH$30:$AU$30-Gebruikt!$AH$5:$AU$5))/14</f>
        <v>0.728571428571429</v>
      </c>
      <c r="H66" s="2" t="n">
        <f aca="false">1-SUMPRODUCT(ABS(Tekstboek!$AH$30:$AU$30-Gebruikt!$AH$6:$AU$6))/14</f>
        <v>0.728571428571429</v>
      </c>
      <c r="I66" s="2" t="n">
        <f aca="false">1-SUMPRODUCT(ABS(Tekstboek!$AH$30:$AU$30-Gebruikt!$AH$7:$AU$7))/14</f>
        <v>0.657142857142857</v>
      </c>
      <c r="J66" s="2" t="n">
        <f aca="false">1-SUMPRODUCT(ABS(Tekstboek!$AH$30:$AU$30-Gebruikt!$AH$8:$AU$8))/14</f>
        <v>0.764285714285714</v>
      </c>
      <c r="K66" s="2" t="n">
        <f aca="false">1-SUMPRODUCT(ABS(Tekstboek!$AH$30:$AU$30-Gebruikt!$AH$9:$AU$9))/14</f>
        <v>0.614285714285714</v>
      </c>
      <c r="L66" s="2" t="n">
        <f aca="false">1-SUMPRODUCT(ABS(Tekstboek!$AH$30:$AU$30-Gebruikt!$AH$10:$AU$10))/14</f>
        <v>0.614285714285714</v>
      </c>
      <c r="M66" s="2" t="n">
        <f aca="false">1-SUMPRODUCT(ABS(Tekstboek!$AH$30:$AU$30-Gebruikt!$AH$11:$AU$11))/14</f>
        <v>0.614285714285714</v>
      </c>
      <c r="N66" s="2" t="n">
        <f aca="false">1-SUMPRODUCT(ABS(Tekstboek!$AH$30:$AU$30-Gebruikt!$AH$12:$AU$12))/14</f>
        <v>0.578571428571429</v>
      </c>
      <c r="O66" s="2" t="n">
        <f aca="false">1-SUMPRODUCT(ABS(Tekstboek!$AH$30:$AU$30-Gebruikt!$AH$13:$AU$13))/14</f>
        <v>0.671428571428572</v>
      </c>
      <c r="P66" s="2" t="n">
        <f aca="false">1-SUMPRODUCT(ABS(Tekstboek!$AH$30:$AU$30-Gebruikt!$AH$14:$AU$14))/14</f>
        <v>0.685714285714286</v>
      </c>
      <c r="Q66" s="2" t="n">
        <f aca="false">1-SUMPRODUCT(ABS(Tekstboek!$AH$30:$AU$30-Gebruikt!$AH$15:$AU$15))/14</f>
        <v>0.757142857142857</v>
      </c>
      <c r="R66" s="2" t="n">
        <f aca="false">1-SUMPRODUCT(ABS(Tekstboek!$AH$30:$AU$30-Gebruikt!$AH$16:$AU$16))/14</f>
        <v>0.757142857142857</v>
      </c>
      <c r="S66" s="2" t="n">
        <f aca="false">1-SUMPRODUCT(ABS(Tekstboek!$AH$30:$AU$30-Gebruikt!$AH$17:$AU$17))/14</f>
        <v>0.65</v>
      </c>
      <c r="T66" s="2" t="n">
        <f aca="false">1-SUMPRODUCT(ABS(Tekstboek!$AH$30:$AU$30-Gebruikt!$AH$18:$AU$18))/14</f>
        <v>0.642857142857143</v>
      </c>
      <c r="U66" s="2" t="n">
        <f aca="false">1-SUMPRODUCT(ABS(Tekstboek!$AH$30:$AU$30-Gebruikt!$AH$19:$AU$19))/14</f>
        <v>0.728571428571429</v>
      </c>
      <c r="V66" s="2" t="n">
        <f aca="false">1-SUMPRODUCT(ABS(Tekstboek!$AH$30:$AU$30-Gebruikt!$AH$20:$AU$20))/14</f>
        <v>0.614285714285714</v>
      </c>
      <c r="W66" s="2" t="n">
        <f aca="false">1-SUMPRODUCT(ABS(Tekstboek!$AH$30:$AU$30-Gebruikt!$AH$21:$AU$21))/14</f>
        <v>0.728571428571429</v>
      </c>
      <c r="X66" s="2" t="n">
        <f aca="false">1-SUMPRODUCT(ABS(Tekstboek!$AH$30:$AU$30-Gebruikt!$AH$22:$AU$22))/14</f>
        <v>0.664285714285714</v>
      </c>
      <c r="Y66" s="2" t="n">
        <f aca="false">1-SUMPRODUCT(ABS(Tekstboek!$AH$30:$AU$30-Gebruikt!$AH$23:$AU$23))/14</f>
        <v>0.764285714285714</v>
      </c>
      <c r="Z66" s="2" t="n">
        <f aca="false">1-SUMPRODUCT(ABS(Tekstboek!$AH$30:$AU$30-Gebruikt!$AH$24:$AU$24))/14</f>
        <v>0.764285714285714</v>
      </c>
      <c r="AA66" s="2" t="n">
        <f aca="false">1-SUMPRODUCT(ABS(Tekstboek!$AH$30:$AU$30-Gebruikt!$AH$25:$AU$25))/14</f>
        <v>0.814285714285714</v>
      </c>
      <c r="AB66" s="2" t="n">
        <f aca="false">1-SUMPRODUCT(ABS(Tekstboek!$AH$30:$AU$30-Gebruikt!$AH$26:$AU$26))/14</f>
        <v>0.671428571428572</v>
      </c>
      <c r="AC66" s="2" t="n">
        <f aca="false">1-SUMPRODUCT(ABS(Tekstboek!$AH$30:$AU$30-Gebruikt!$AH$27:$AU$27))/14</f>
        <v>0.742857142857143</v>
      </c>
      <c r="AD66" s="2" t="n">
        <f aca="false">1-SUMPRODUCT(ABS(Tekstboek!$AH$30:$AU$30-Gebruikt!$AH$28:$AU$28))/14</f>
        <v>0.671428571428572</v>
      </c>
      <c r="AE66" s="2" t="n">
        <f aca="false">1-SUMPRODUCT(ABS(Tekstboek!$AH$30:$AU$30-Gebruikt!$AH$29:$AU$29))/14</f>
        <v>0.621428571428571</v>
      </c>
      <c r="AF66" s="2" t="n">
        <f aca="false">1-SUMPRODUCT(ABS(Tekstboek!$AH$30:$AU$30-Gebruikt!$AH$30:$AU$30))/14</f>
        <v>0.592857142857143</v>
      </c>
      <c r="AG66" s="2" t="n">
        <f aca="false">1-SUMPRODUCT(ABS(Tekstboek!$AH$30:$AU$30-Gebruikt!$AH$31:$AU$31))/14</f>
        <v>0.714285714285714</v>
      </c>
      <c r="AH66" s="2" t="n">
        <f aca="false">1-SUMPRODUCT(ABS(Tekstboek!$AH$30:$AU$30-Gebruikt!$AH$32:$AU$32))/14</f>
        <v>0.642857142857143</v>
      </c>
      <c r="AI66" s="2" t="n">
        <f aca="false">1-SUMPRODUCT(ABS(Tekstboek!$AH$30:$AU$30-Gebruikt!$AH$33:$AU$33))/14</f>
        <v>0.621428571428571</v>
      </c>
      <c r="AJ66" s="2" t="n">
        <f aca="false">1-SUMPRODUCT(ABS(Tekstboek!$AH$30:$AU$30-Gebruikt!$AH$34:$AU$34))/14</f>
        <v>0.728571428571429</v>
      </c>
      <c r="AK66" s="2" t="n">
        <f aca="false">1-SUMPRODUCT(ABS(Tekstboek!$AH$30:$AU$30-Gebruikt!$AH$35:$AU$35))/14</f>
        <v>0.764285714285714</v>
      </c>
      <c r="AL66" s="2" t="n">
        <f aca="false">1-SUMPRODUCT(ABS(Tekstboek!$AH$30:$AU$30-Gebruikt!$AH$36:$AU$36))/14</f>
        <v>0.714285714285714</v>
      </c>
      <c r="AM66" s="2" t="n">
        <f aca="false">1-SUMPRODUCT(ABS(Tekstboek!$AH$30:$AU$30-Gebruikt!$AH$37:$AU$37))/14</f>
        <v>0.571428571428571</v>
      </c>
      <c r="AN66" s="2" t="n">
        <f aca="false">1-SUMPRODUCT(ABS(Tekstboek!$AH$30:$AU$30-Gebruikt!$AH$38:$AU$38))/14</f>
        <v>0.621428571428571</v>
      </c>
      <c r="AO66" s="2" t="n">
        <f aca="false">1-SUMPRODUCT(ABS(Tekstboek!$AH$30:$AU$30-Gebruikt!$AH$39:$AU$39))/14</f>
        <v>0.585714285714286</v>
      </c>
      <c r="AP66" s="2" t="n">
        <f aca="false">1-SUMPRODUCT(ABS(Tekstboek!$AH$30:$AU$30-Gebruikt!$AH$40:$AU$40))/14</f>
        <v>0.614285714285714</v>
      </c>
      <c r="AQ66" s="2" t="n">
        <f aca="false">1-SUMPRODUCT(ABS(Tekstboek!$AH$30:$AU$30-Gebruikt!$AH$41:$AU$41))/14</f>
        <v>0.664285714285714</v>
      </c>
      <c r="AR66" s="2" t="n">
        <f aca="false">1-SUMPRODUCT(ABS(Tekstboek!$AH$30:$AU$30-Gebruikt!$AH$42:$AU$42))/14</f>
        <v>0.614285714285714</v>
      </c>
      <c r="AS66" s="2" t="n">
        <f aca="false">1-SUMPRODUCT(ABS(Tekstboek!$AH$30:$AU$30-Gebruikt!$AH$43:$AU$43))/14</f>
        <v>0.65</v>
      </c>
      <c r="AT66" s="2" t="n">
        <f aca="false">1-SUMPRODUCT(ABS(Tekstboek!$AH$30:$AU$30-Gebruikt!$AH$44:$AU$44))/14</f>
        <v>0.792857142857143</v>
      </c>
      <c r="AU66" s="2" t="n">
        <f aca="false">1-SUMPRODUCT(ABS(Tekstboek!$AH$30:$AU$30-Gebruikt!$AH$45:$AU$45))/14</f>
        <v>0.65</v>
      </c>
      <c r="AV66" s="2" t="n">
        <f aca="false">1-SUMPRODUCT(ABS(Tekstboek!$AH$30:$AU$30-Gebruikt!$AH$46:$AU$46))/14</f>
        <v>0.807142857142857</v>
      </c>
      <c r="AW66" s="2" t="n">
        <f aca="false">1-SUMPRODUCT(ABS(Tekstboek!$AH$30:$AU$30-Gebruikt!$AH$47:$AU$47))/14</f>
        <v>0.614285714285714</v>
      </c>
      <c r="AX66" s="2" t="n">
        <f aca="false">1-SUMPRODUCT(ABS(Tekstboek!$AH$30:$AU$30-Gebruikt!$AH$48:$AU$48))/14</f>
        <v>0.65</v>
      </c>
    </row>
    <row r="67" customFormat="false" ht="15" hidden="false" customHeight="false" outlineLevel="0" collapsed="false">
      <c r="A67" s="8" t="str">
        <f aca="false">Tekstboek!A31</f>
        <v>B28</v>
      </c>
      <c r="B67" s="8" t="str">
        <f aca="false">Tekstboek!B31</f>
        <v>[n-bit] Montgomery modular multiplication</v>
      </c>
      <c r="C67" s="2" t="n">
        <f aca="false">1-D67</f>
        <v>0.0714285714285714</v>
      </c>
      <c r="D67" s="2" t="n">
        <f aca="false">MAX(F67:AX67)</f>
        <v>0.928571428571429</v>
      </c>
      <c r="E67" s="2" t="str">
        <f aca="false">INDEX(Gebruikt!$B$4:$B$48,MATCH(D67,F67:AX67,0))</f>
        <v>Karatsuba squaring (recursive, in place)</v>
      </c>
      <c r="F67" s="2" t="n">
        <f aca="false">1-SUMPRODUCT(ABS(Tekstboek!$AH$31:$AU$31-Gebruikt!$AH$4:$AU$4))/14</f>
        <v>0.757142857142857</v>
      </c>
      <c r="G67" s="2" t="n">
        <f aca="false">1-SUMPRODUCT(ABS(Tekstboek!$AH$31:$AU$31-Gebruikt!$AH$5:$AU$5))/14</f>
        <v>0.671428571428572</v>
      </c>
      <c r="H67" s="2" t="n">
        <f aca="false">1-SUMPRODUCT(ABS(Tekstboek!$AH$31:$AU$31-Gebruikt!$AH$6:$AU$6))/14</f>
        <v>0.671428571428572</v>
      </c>
      <c r="I67" s="2" t="n">
        <f aca="false">1-SUMPRODUCT(ABS(Tekstboek!$AH$31:$AU$31-Gebruikt!$AH$7:$AU$7))/14</f>
        <v>0.6</v>
      </c>
      <c r="J67" s="2" t="n">
        <f aca="false">1-SUMPRODUCT(ABS(Tekstboek!$AH$31:$AU$31-Gebruikt!$AH$8:$AU$8))/14</f>
        <v>0.707142857142857</v>
      </c>
      <c r="K67" s="2" t="n">
        <f aca="false">1-SUMPRODUCT(ABS(Tekstboek!$AH$31:$AU$31-Gebruikt!$AH$9:$AU$9))/14</f>
        <v>0.5</v>
      </c>
      <c r="L67" s="2" t="n">
        <f aca="false">1-SUMPRODUCT(ABS(Tekstboek!$AH$31:$AU$31-Gebruikt!$AH$10:$AU$10))/14</f>
        <v>0.5</v>
      </c>
      <c r="M67" s="2" t="n">
        <f aca="false">1-SUMPRODUCT(ABS(Tekstboek!$AH$31:$AU$31-Gebruikt!$AH$11:$AU$11))/14</f>
        <v>0.5</v>
      </c>
      <c r="N67" s="2" t="n">
        <f aca="false">1-SUMPRODUCT(ABS(Tekstboek!$AH$31:$AU$31-Gebruikt!$AH$12:$AU$12))/14</f>
        <v>0.464285714285714</v>
      </c>
      <c r="O67" s="2" t="n">
        <f aca="false">1-SUMPRODUCT(ABS(Tekstboek!$AH$31:$AU$31-Gebruikt!$AH$13:$AU$13))/14</f>
        <v>0.757142857142857</v>
      </c>
      <c r="P67" s="2" t="n">
        <f aca="false">1-SUMPRODUCT(ABS(Tekstboek!$AH$31:$AU$31-Gebruikt!$AH$14:$AU$14))/14</f>
        <v>0.571428571428571</v>
      </c>
      <c r="Q67" s="2" t="n">
        <f aca="false">1-SUMPRODUCT(ABS(Tekstboek!$AH$31:$AU$31-Gebruikt!$AH$15:$AU$15))/14</f>
        <v>0.642857142857143</v>
      </c>
      <c r="R67" s="2" t="n">
        <f aca="false">1-SUMPRODUCT(ABS(Tekstboek!$AH$31:$AU$31-Gebruikt!$AH$16:$AU$16))/14</f>
        <v>0.642857142857143</v>
      </c>
      <c r="S67" s="2" t="n">
        <f aca="false">1-SUMPRODUCT(ABS(Tekstboek!$AH$31:$AU$31-Gebruikt!$AH$17:$AU$17))/14</f>
        <v>0.564285714285714</v>
      </c>
      <c r="T67" s="2" t="n">
        <f aca="false">1-SUMPRODUCT(ABS(Tekstboek!$AH$31:$AU$31-Gebruikt!$AH$18:$AU$18))/14</f>
        <v>0.757142857142857</v>
      </c>
      <c r="U67" s="2" t="n">
        <f aca="false">1-SUMPRODUCT(ABS(Tekstboek!$AH$31:$AU$31-Gebruikt!$AH$19:$AU$19))/14</f>
        <v>0.814285714285714</v>
      </c>
      <c r="V67" s="2" t="n">
        <f aca="false">1-SUMPRODUCT(ABS(Tekstboek!$AH$31:$AU$31-Gebruikt!$AH$20:$AU$20))/14</f>
        <v>0.5</v>
      </c>
      <c r="W67" s="2" t="n">
        <f aca="false">1-SUMPRODUCT(ABS(Tekstboek!$AH$31:$AU$31-Gebruikt!$AH$21:$AU$21))/14</f>
        <v>0.671428571428572</v>
      </c>
      <c r="X67" s="2" t="n">
        <f aca="false">1-SUMPRODUCT(ABS(Tekstboek!$AH$31:$AU$31-Gebruikt!$AH$22:$AU$22))/14</f>
        <v>0.721428571428571</v>
      </c>
      <c r="Y67" s="2" t="n">
        <f aca="false">1-SUMPRODUCT(ABS(Tekstboek!$AH$31:$AU$31-Gebruikt!$AH$23:$AU$23))/14</f>
        <v>0.707142857142857</v>
      </c>
      <c r="Z67" s="2" t="n">
        <f aca="false">1-SUMPRODUCT(ABS(Tekstboek!$AH$31:$AU$31-Gebruikt!$AH$24:$AU$24))/14</f>
        <v>0.707142857142857</v>
      </c>
      <c r="AA67" s="2" t="n">
        <f aca="false">1-SUMPRODUCT(ABS(Tekstboek!$AH$31:$AU$31-Gebruikt!$AH$25:$AU$25))/14</f>
        <v>0.928571428571429</v>
      </c>
      <c r="AB67" s="2" t="n">
        <f aca="false">1-SUMPRODUCT(ABS(Tekstboek!$AH$31:$AU$31-Gebruikt!$AH$26:$AU$26))/14</f>
        <v>0.785714285714286</v>
      </c>
      <c r="AC67" s="2" t="n">
        <f aca="false">1-SUMPRODUCT(ABS(Tekstboek!$AH$31:$AU$31-Gebruikt!$AH$27:$AU$27))/14</f>
        <v>0.828571428571429</v>
      </c>
      <c r="AD67" s="2" t="n">
        <f aca="false">1-SUMPRODUCT(ABS(Tekstboek!$AH$31:$AU$31-Gebruikt!$AH$28:$AU$28))/14</f>
        <v>0.757142857142857</v>
      </c>
      <c r="AE67" s="2" t="n">
        <f aca="false">1-SUMPRODUCT(ABS(Tekstboek!$AH$31:$AU$31-Gebruikt!$AH$29:$AU$29))/14</f>
        <v>0.564285714285714</v>
      </c>
      <c r="AF67" s="2" t="n">
        <f aca="false">1-SUMPRODUCT(ABS(Tekstboek!$AH$31:$AU$31-Gebruikt!$AH$30:$AU$30))/14</f>
        <v>0.478571428571429</v>
      </c>
      <c r="AG67" s="2" t="n">
        <f aca="false">1-SUMPRODUCT(ABS(Tekstboek!$AH$31:$AU$31-Gebruikt!$AH$31:$AU$31))/14</f>
        <v>0.828571428571429</v>
      </c>
      <c r="AH67" s="2" t="n">
        <f aca="false">1-SUMPRODUCT(ABS(Tekstboek!$AH$31:$AU$31-Gebruikt!$AH$32:$AU$32))/14</f>
        <v>0.757142857142857</v>
      </c>
      <c r="AI67" s="2" t="n">
        <f aca="false">1-SUMPRODUCT(ABS(Tekstboek!$AH$31:$AU$31-Gebruikt!$AH$33:$AU$33))/14</f>
        <v>0.564285714285714</v>
      </c>
      <c r="AJ67" s="2" t="n">
        <f aca="false">1-SUMPRODUCT(ABS(Tekstboek!$AH$31:$AU$31-Gebruikt!$AH$34:$AU$34))/14</f>
        <v>0.671428571428572</v>
      </c>
      <c r="AK67" s="2" t="n">
        <f aca="false">1-SUMPRODUCT(ABS(Tekstboek!$AH$31:$AU$31-Gebruikt!$AH$35:$AU$35))/14</f>
        <v>0.707142857142857</v>
      </c>
      <c r="AL67" s="2" t="n">
        <f aca="false">1-SUMPRODUCT(ABS(Tekstboek!$AH$31:$AU$31-Gebruikt!$AH$36:$AU$36))/14</f>
        <v>0.828571428571429</v>
      </c>
      <c r="AM67" s="2" t="n">
        <f aca="false">1-SUMPRODUCT(ABS(Tekstboek!$AH$31:$AU$31-Gebruikt!$AH$37:$AU$37))/14</f>
        <v>0.685714285714286</v>
      </c>
      <c r="AN67" s="2" t="n">
        <f aca="false">1-SUMPRODUCT(ABS(Tekstboek!$AH$31:$AU$31-Gebruikt!$AH$38:$AU$38))/14</f>
        <v>0.564285714285714</v>
      </c>
      <c r="AO67" s="2" t="n">
        <f aca="false">1-SUMPRODUCT(ABS(Tekstboek!$AH$31:$AU$31-Gebruikt!$AH$39:$AU$39))/14</f>
        <v>0.671428571428572</v>
      </c>
      <c r="AP67" s="2" t="n">
        <f aca="false">1-SUMPRODUCT(ABS(Tekstboek!$AH$31:$AU$31-Gebruikt!$AH$40:$AU$40))/14</f>
        <v>0.5</v>
      </c>
      <c r="AQ67" s="2" t="n">
        <f aca="false">1-SUMPRODUCT(ABS(Tekstboek!$AH$31:$AU$31-Gebruikt!$AH$41:$AU$41))/14</f>
        <v>0.55</v>
      </c>
      <c r="AR67" s="2" t="n">
        <f aca="false">1-SUMPRODUCT(ABS(Tekstboek!$AH$31:$AU$31-Gebruikt!$AH$42:$AU$42))/14</f>
        <v>0.5</v>
      </c>
      <c r="AS67" s="2" t="n">
        <f aca="false">1-SUMPRODUCT(ABS(Tekstboek!$AH$31:$AU$31-Gebruikt!$AH$43:$AU$43))/14</f>
        <v>0.564285714285714</v>
      </c>
      <c r="AT67" s="2" t="n">
        <f aca="false">1-SUMPRODUCT(ABS(Tekstboek!$AH$31:$AU$31-Gebruikt!$AH$44:$AU$44))/14</f>
        <v>0.707142857142857</v>
      </c>
      <c r="AU67" s="2" t="n">
        <f aca="false">1-SUMPRODUCT(ABS(Tekstboek!$AH$31:$AU$31-Gebruikt!$AH$45:$AU$45))/14</f>
        <v>0.564285714285714</v>
      </c>
      <c r="AV67" s="2" t="n">
        <f aca="false">1-SUMPRODUCT(ABS(Tekstboek!$AH$31:$AU$31-Gebruikt!$AH$46:$AU$46))/14</f>
        <v>0.864285714285714</v>
      </c>
      <c r="AW67" s="2" t="n">
        <f aca="false">1-SUMPRODUCT(ABS(Tekstboek!$AH$31:$AU$31-Gebruikt!$AH$47:$AU$47))/14</f>
        <v>0.5</v>
      </c>
      <c r="AX67" s="2" t="n">
        <f aca="false">1-SUMPRODUCT(ABS(Tekstboek!$AH$31:$AU$31-Gebruikt!$AH$48:$AU$48))/14</f>
        <v>0.564285714285714</v>
      </c>
    </row>
    <row r="68" customFormat="false" ht="15" hidden="false" customHeight="false" outlineLevel="0" collapsed="false">
      <c r="A68" s="8" t="str">
        <f aca="false">Tekstboek!A32</f>
        <v>B29</v>
      </c>
      <c r="B68" s="8" t="str">
        <f aca="false">Tekstboek!B32</f>
        <v>[n-bit] Schoolbook square (symmetric, n^2/2)</v>
      </c>
      <c r="C68" s="2" t="n">
        <f aca="false">1-D68</f>
        <v>0.0857142857142857</v>
      </c>
      <c r="D68" s="2" t="n">
        <f aca="false">MAX(F68:AX68)</f>
        <v>0.914285714285714</v>
      </c>
      <c r="E68" s="2" t="str">
        <f aca="false">INDEX(Gebruikt!$B$4:$B$48,MATCH(D68,F68:AX68,0))</f>
        <v>Karatsuba squaring (recursive, in place)</v>
      </c>
      <c r="F68" s="2" t="n">
        <f aca="false">1-SUMPRODUCT(ABS(Tekstboek!$AH$32:$AU$32-Gebruikt!$AH$4:$AU$4))/14</f>
        <v>0.742857142857143</v>
      </c>
      <c r="G68" s="2" t="n">
        <f aca="false">1-SUMPRODUCT(ABS(Tekstboek!$AH$32:$AU$32-Gebruikt!$AH$5:$AU$5))/14</f>
        <v>0.657142857142857</v>
      </c>
      <c r="H68" s="2" t="n">
        <f aca="false">1-SUMPRODUCT(ABS(Tekstboek!$AH$32:$AU$32-Gebruikt!$AH$6:$AU$6))/14</f>
        <v>0.657142857142857</v>
      </c>
      <c r="I68" s="2" t="n">
        <f aca="false">1-SUMPRODUCT(ABS(Tekstboek!$AH$32:$AU$32-Gebruikt!$AH$7:$AU$7))/14</f>
        <v>0.585714285714286</v>
      </c>
      <c r="J68" s="2" t="n">
        <f aca="false">1-SUMPRODUCT(ABS(Tekstboek!$AH$32:$AU$32-Gebruikt!$AH$8:$AU$8))/14</f>
        <v>0.692857142857143</v>
      </c>
      <c r="K68" s="2" t="n">
        <f aca="false">1-SUMPRODUCT(ABS(Tekstboek!$AH$32:$AU$32-Gebruikt!$AH$9:$AU$9))/14</f>
        <v>0.514285714285714</v>
      </c>
      <c r="L68" s="2" t="n">
        <f aca="false">1-SUMPRODUCT(ABS(Tekstboek!$AH$32:$AU$32-Gebruikt!$AH$10:$AU$10))/14</f>
        <v>0.514285714285714</v>
      </c>
      <c r="M68" s="2" t="n">
        <f aca="false">1-SUMPRODUCT(ABS(Tekstboek!$AH$32:$AU$32-Gebruikt!$AH$11:$AU$11))/14</f>
        <v>0.514285714285714</v>
      </c>
      <c r="N68" s="2" t="n">
        <f aca="false">1-SUMPRODUCT(ABS(Tekstboek!$AH$32:$AU$32-Gebruikt!$AH$12:$AU$12))/14</f>
        <v>0.478571428571429</v>
      </c>
      <c r="O68" s="2" t="n">
        <f aca="false">1-SUMPRODUCT(ABS(Tekstboek!$AH$32:$AU$32-Gebruikt!$AH$13:$AU$13))/14</f>
        <v>0.742857142857143</v>
      </c>
      <c r="P68" s="2" t="n">
        <f aca="false">1-SUMPRODUCT(ABS(Tekstboek!$AH$32:$AU$32-Gebruikt!$AH$14:$AU$14))/14</f>
        <v>0.585714285714286</v>
      </c>
      <c r="Q68" s="2" t="n">
        <f aca="false">1-SUMPRODUCT(ABS(Tekstboek!$AH$32:$AU$32-Gebruikt!$AH$15:$AU$15))/14</f>
        <v>0.657142857142857</v>
      </c>
      <c r="R68" s="2" t="n">
        <f aca="false">1-SUMPRODUCT(ABS(Tekstboek!$AH$32:$AU$32-Gebruikt!$AH$16:$AU$16))/14</f>
        <v>0.657142857142857</v>
      </c>
      <c r="S68" s="2" t="n">
        <f aca="false">1-SUMPRODUCT(ABS(Tekstboek!$AH$32:$AU$32-Gebruikt!$AH$17:$AU$17))/14</f>
        <v>0.55</v>
      </c>
      <c r="T68" s="2" t="n">
        <f aca="false">1-SUMPRODUCT(ABS(Tekstboek!$AH$32:$AU$32-Gebruikt!$AH$18:$AU$18))/14</f>
        <v>0.742857142857143</v>
      </c>
      <c r="U68" s="2" t="n">
        <f aca="false">1-SUMPRODUCT(ABS(Tekstboek!$AH$32:$AU$32-Gebruikt!$AH$19:$AU$19))/14</f>
        <v>0.8</v>
      </c>
      <c r="V68" s="2" t="n">
        <f aca="false">1-SUMPRODUCT(ABS(Tekstboek!$AH$32:$AU$32-Gebruikt!$AH$20:$AU$20))/14</f>
        <v>0.514285714285714</v>
      </c>
      <c r="W68" s="2" t="n">
        <f aca="false">1-SUMPRODUCT(ABS(Tekstboek!$AH$32:$AU$32-Gebruikt!$AH$21:$AU$21))/14</f>
        <v>0.657142857142857</v>
      </c>
      <c r="X68" s="2" t="n">
        <f aca="false">1-SUMPRODUCT(ABS(Tekstboek!$AH$32:$AU$32-Gebruikt!$AH$22:$AU$22))/14</f>
        <v>0.735714285714286</v>
      </c>
      <c r="Y68" s="2" t="n">
        <f aca="false">1-SUMPRODUCT(ABS(Tekstboek!$AH$32:$AU$32-Gebruikt!$AH$23:$AU$23))/14</f>
        <v>0.692857142857143</v>
      </c>
      <c r="Z68" s="2" t="n">
        <f aca="false">1-SUMPRODUCT(ABS(Tekstboek!$AH$32:$AU$32-Gebruikt!$AH$24:$AU$24))/14</f>
        <v>0.692857142857143</v>
      </c>
      <c r="AA68" s="2" t="n">
        <f aca="false">1-SUMPRODUCT(ABS(Tekstboek!$AH$32:$AU$32-Gebruikt!$AH$25:$AU$25))/14</f>
        <v>0.914285714285714</v>
      </c>
      <c r="AB68" s="2" t="n">
        <f aca="false">1-SUMPRODUCT(ABS(Tekstboek!$AH$32:$AU$32-Gebruikt!$AH$26:$AU$26))/14</f>
        <v>0.771428571428571</v>
      </c>
      <c r="AC68" s="2" t="n">
        <f aca="false">1-SUMPRODUCT(ABS(Tekstboek!$AH$32:$AU$32-Gebruikt!$AH$27:$AU$27))/14</f>
        <v>0.814285714285714</v>
      </c>
      <c r="AD68" s="2" t="n">
        <f aca="false">1-SUMPRODUCT(ABS(Tekstboek!$AH$32:$AU$32-Gebruikt!$AH$28:$AU$28))/14</f>
        <v>0.742857142857143</v>
      </c>
      <c r="AE68" s="2" t="n">
        <f aca="false">1-SUMPRODUCT(ABS(Tekstboek!$AH$32:$AU$32-Gebruikt!$AH$29:$AU$29))/14</f>
        <v>0.55</v>
      </c>
      <c r="AF68" s="2" t="n">
        <f aca="false">1-SUMPRODUCT(ABS(Tekstboek!$AH$32:$AU$32-Gebruikt!$AH$30:$AU$30))/14</f>
        <v>0.492857142857143</v>
      </c>
      <c r="AG68" s="2" t="n">
        <f aca="false">1-SUMPRODUCT(ABS(Tekstboek!$AH$32:$AU$32-Gebruikt!$AH$31:$AU$31))/14</f>
        <v>0.814285714285714</v>
      </c>
      <c r="AH68" s="2" t="n">
        <f aca="false">1-SUMPRODUCT(ABS(Tekstboek!$AH$32:$AU$32-Gebruikt!$AH$32:$AU$32))/14</f>
        <v>0.742857142857143</v>
      </c>
      <c r="AI68" s="2" t="n">
        <f aca="false">1-SUMPRODUCT(ABS(Tekstboek!$AH$32:$AU$32-Gebruikt!$AH$33:$AU$33))/14</f>
        <v>0.55</v>
      </c>
      <c r="AJ68" s="2" t="n">
        <f aca="false">1-SUMPRODUCT(ABS(Tekstboek!$AH$32:$AU$32-Gebruikt!$AH$34:$AU$34))/14</f>
        <v>0.657142857142857</v>
      </c>
      <c r="AK68" s="2" t="n">
        <f aca="false">1-SUMPRODUCT(ABS(Tekstboek!$AH$32:$AU$32-Gebruikt!$AH$35:$AU$35))/14</f>
        <v>0.692857142857143</v>
      </c>
      <c r="AL68" s="2" t="n">
        <f aca="false">1-SUMPRODUCT(ABS(Tekstboek!$AH$32:$AU$32-Gebruikt!$AH$36:$AU$36))/14</f>
        <v>0.814285714285714</v>
      </c>
      <c r="AM68" s="2" t="n">
        <f aca="false">1-SUMPRODUCT(ABS(Tekstboek!$AH$32:$AU$32-Gebruikt!$AH$37:$AU$37))/14</f>
        <v>0.671428571428572</v>
      </c>
      <c r="AN68" s="2" t="n">
        <f aca="false">1-SUMPRODUCT(ABS(Tekstboek!$AH$32:$AU$32-Gebruikt!$AH$38:$AU$38))/14</f>
        <v>0.55</v>
      </c>
      <c r="AO68" s="2" t="n">
        <f aca="false">1-SUMPRODUCT(ABS(Tekstboek!$AH$32:$AU$32-Gebruikt!$AH$39:$AU$39))/14</f>
        <v>0.657142857142857</v>
      </c>
      <c r="AP68" s="2" t="n">
        <f aca="false">1-SUMPRODUCT(ABS(Tekstboek!$AH$32:$AU$32-Gebruikt!$AH$40:$AU$40))/14</f>
        <v>0.514285714285714</v>
      </c>
      <c r="AQ68" s="2" t="n">
        <f aca="false">1-SUMPRODUCT(ABS(Tekstboek!$AH$32:$AU$32-Gebruikt!$AH$41:$AU$41))/14</f>
        <v>0.564285714285714</v>
      </c>
      <c r="AR68" s="2" t="n">
        <f aca="false">1-SUMPRODUCT(ABS(Tekstboek!$AH$32:$AU$32-Gebruikt!$AH$42:$AU$42))/14</f>
        <v>0.514285714285714</v>
      </c>
      <c r="AS68" s="2" t="n">
        <f aca="false">1-SUMPRODUCT(ABS(Tekstboek!$AH$32:$AU$32-Gebruikt!$AH$43:$AU$43))/14</f>
        <v>0.55</v>
      </c>
      <c r="AT68" s="2" t="n">
        <f aca="false">1-SUMPRODUCT(ABS(Tekstboek!$AH$32:$AU$32-Gebruikt!$AH$44:$AU$44))/14</f>
        <v>0.692857142857143</v>
      </c>
      <c r="AU68" s="2" t="n">
        <f aca="false">1-SUMPRODUCT(ABS(Tekstboek!$AH$32:$AU$32-Gebruikt!$AH$45:$AU$45))/14</f>
        <v>0.55</v>
      </c>
      <c r="AV68" s="2" t="n">
        <f aca="false">1-SUMPRODUCT(ABS(Tekstboek!$AH$32:$AU$32-Gebruikt!$AH$46:$AU$46))/14</f>
        <v>0.878571428571429</v>
      </c>
      <c r="AW68" s="2" t="n">
        <f aca="false">1-SUMPRODUCT(ABS(Tekstboek!$AH$32:$AU$32-Gebruikt!$AH$47:$AU$47))/14</f>
        <v>0.514285714285714</v>
      </c>
      <c r="AX68" s="2" t="n">
        <f aca="false">1-SUMPRODUCT(ABS(Tekstboek!$AH$32:$AU$32-Gebruikt!$AH$48:$AU$48))/14</f>
        <v>0.55</v>
      </c>
    </row>
    <row r="69" customFormat="false" ht="15" hidden="false" customHeight="false" outlineLevel="0" collapsed="false">
      <c r="A69" s="8" t="str">
        <f aca="false">Tekstboek!A33</f>
        <v>B30</v>
      </c>
      <c r="B69" s="8" t="str">
        <f aca="false">Tekstboek!B33</f>
        <v>[n-bit] Solinas pseudo-Mersenne reduction</v>
      </c>
      <c r="C69" s="2" t="n">
        <f aca="false">1-D69</f>
        <v>0.1</v>
      </c>
      <c r="D69" s="2" t="n">
        <f aca="false">MAX(F69:AX69)</f>
        <v>0.9</v>
      </c>
      <c r="E69" s="2" t="str">
        <f aca="false">INDEX(Gebruikt!$B$4:$B$48,MATCH(D69,F69:AX69,0))</f>
        <v>Karatsuba squaring (recursive, in place)</v>
      </c>
      <c r="F69" s="2" t="n">
        <f aca="false">1-SUMPRODUCT(ABS(Tekstboek!$AH$33:$AU$33-Gebruikt!$AH$4:$AU$4))/14</f>
        <v>0.728571428571429</v>
      </c>
      <c r="G69" s="2" t="n">
        <f aca="false">1-SUMPRODUCT(ABS(Tekstboek!$AH$33:$AU$33-Gebruikt!$AH$5:$AU$5))/14</f>
        <v>0.671428571428572</v>
      </c>
      <c r="H69" s="2" t="n">
        <f aca="false">1-SUMPRODUCT(ABS(Tekstboek!$AH$33:$AU$33-Gebruikt!$AH$6:$AU$6))/14</f>
        <v>0.671428571428572</v>
      </c>
      <c r="I69" s="2" t="n">
        <f aca="false">1-SUMPRODUCT(ABS(Tekstboek!$AH$33:$AU$33-Gebruikt!$AH$7:$AU$7))/14</f>
        <v>0.6</v>
      </c>
      <c r="J69" s="2" t="n">
        <f aca="false">1-SUMPRODUCT(ABS(Tekstboek!$AH$33:$AU$33-Gebruikt!$AH$8:$AU$8))/14</f>
        <v>0.707142857142857</v>
      </c>
      <c r="K69" s="2" t="n">
        <f aca="false">1-SUMPRODUCT(ABS(Tekstboek!$AH$33:$AU$33-Gebruikt!$AH$9:$AU$9))/14</f>
        <v>0.528571428571429</v>
      </c>
      <c r="L69" s="2" t="n">
        <f aca="false">1-SUMPRODUCT(ABS(Tekstboek!$AH$33:$AU$33-Gebruikt!$AH$10:$AU$10))/14</f>
        <v>0.528571428571429</v>
      </c>
      <c r="M69" s="2" t="n">
        <f aca="false">1-SUMPRODUCT(ABS(Tekstboek!$AH$33:$AU$33-Gebruikt!$AH$11:$AU$11))/14</f>
        <v>0.528571428571429</v>
      </c>
      <c r="N69" s="2" t="n">
        <f aca="false">1-SUMPRODUCT(ABS(Tekstboek!$AH$33:$AU$33-Gebruikt!$AH$12:$AU$12))/14</f>
        <v>0.492857142857143</v>
      </c>
      <c r="O69" s="2" t="n">
        <f aca="false">1-SUMPRODUCT(ABS(Tekstboek!$AH$33:$AU$33-Gebruikt!$AH$13:$AU$13))/14</f>
        <v>0.757142857142857</v>
      </c>
      <c r="P69" s="2" t="n">
        <f aca="false">1-SUMPRODUCT(ABS(Tekstboek!$AH$33:$AU$33-Gebruikt!$AH$14:$AU$14))/14</f>
        <v>0.6</v>
      </c>
      <c r="Q69" s="2" t="n">
        <f aca="false">1-SUMPRODUCT(ABS(Tekstboek!$AH$33:$AU$33-Gebruikt!$AH$15:$AU$15))/14</f>
        <v>0.671428571428572</v>
      </c>
      <c r="R69" s="2" t="n">
        <f aca="false">1-SUMPRODUCT(ABS(Tekstboek!$AH$33:$AU$33-Gebruikt!$AH$16:$AU$16))/14</f>
        <v>0.671428571428572</v>
      </c>
      <c r="S69" s="2" t="n">
        <f aca="false">1-SUMPRODUCT(ABS(Tekstboek!$AH$33:$AU$33-Gebruikt!$AH$17:$AU$17))/14</f>
        <v>0.564285714285714</v>
      </c>
      <c r="T69" s="2" t="n">
        <f aca="false">1-SUMPRODUCT(ABS(Tekstboek!$AH$33:$AU$33-Gebruikt!$AH$18:$AU$18))/14</f>
        <v>0.728571428571429</v>
      </c>
      <c r="U69" s="2" t="n">
        <f aca="false">1-SUMPRODUCT(ABS(Tekstboek!$AH$33:$AU$33-Gebruikt!$AH$19:$AU$19))/14</f>
        <v>0.814285714285714</v>
      </c>
      <c r="V69" s="2" t="n">
        <f aca="false">1-SUMPRODUCT(ABS(Tekstboek!$AH$33:$AU$33-Gebruikt!$AH$20:$AU$20))/14</f>
        <v>0.528571428571429</v>
      </c>
      <c r="W69" s="2" t="n">
        <f aca="false">1-SUMPRODUCT(ABS(Tekstboek!$AH$33:$AU$33-Gebruikt!$AH$21:$AU$21))/14</f>
        <v>0.671428571428572</v>
      </c>
      <c r="X69" s="2" t="n">
        <f aca="false">1-SUMPRODUCT(ABS(Tekstboek!$AH$33:$AU$33-Gebruikt!$AH$22:$AU$22))/14</f>
        <v>0.75</v>
      </c>
      <c r="Y69" s="2" t="n">
        <f aca="false">1-SUMPRODUCT(ABS(Tekstboek!$AH$33:$AU$33-Gebruikt!$AH$23:$AU$23))/14</f>
        <v>0.707142857142857</v>
      </c>
      <c r="Z69" s="2" t="n">
        <f aca="false">1-SUMPRODUCT(ABS(Tekstboek!$AH$33:$AU$33-Gebruikt!$AH$24:$AU$24))/14</f>
        <v>0.707142857142857</v>
      </c>
      <c r="AA69" s="2" t="n">
        <f aca="false">1-SUMPRODUCT(ABS(Tekstboek!$AH$33:$AU$33-Gebruikt!$AH$25:$AU$25))/14</f>
        <v>0.9</v>
      </c>
      <c r="AB69" s="2" t="n">
        <f aca="false">1-SUMPRODUCT(ABS(Tekstboek!$AH$33:$AU$33-Gebruikt!$AH$26:$AU$26))/14</f>
        <v>0.757142857142857</v>
      </c>
      <c r="AC69" s="2" t="n">
        <f aca="false">1-SUMPRODUCT(ABS(Tekstboek!$AH$33:$AU$33-Gebruikt!$AH$27:$AU$27))/14</f>
        <v>0.828571428571429</v>
      </c>
      <c r="AD69" s="2" t="n">
        <f aca="false">1-SUMPRODUCT(ABS(Tekstboek!$AH$33:$AU$33-Gebruikt!$AH$28:$AU$28))/14</f>
        <v>0.757142857142857</v>
      </c>
      <c r="AE69" s="2" t="n">
        <f aca="false">1-SUMPRODUCT(ABS(Tekstboek!$AH$33:$AU$33-Gebruikt!$AH$29:$AU$29))/14</f>
        <v>0.564285714285714</v>
      </c>
      <c r="AF69" s="2" t="n">
        <f aca="false">1-SUMPRODUCT(ABS(Tekstboek!$AH$33:$AU$33-Gebruikt!$AH$30:$AU$30))/14</f>
        <v>0.507142857142857</v>
      </c>
      <c r="AG69" s="2" t="n">
        <f aca="false">1-SUMPRODUCT(ABS(Tekstboek!$AH$33:$AU$33-Gebruikt!$AH$31:$AU$31))/14</f>
        <v>0.8</v>
      </c>
      <c r="AH69" s="2" t="n">
        <f aca="false">1-SUMPRODUCT(ABS(Tekstboek!$AH$33:$AU$33-Gebruikt!$AH$32:$AU$32))/14</f>
        <v>0.728571428571429</v>
      </c>
      <c r="AI69" s="2" t="n">
        <f aca="false">1-SUMPRODUCT(ABS(Tekstboek!$AH$33:$AU$33-Gebruikt!$AH$33:$AU$33))/14</f>
        <v>0.564285714285714</v>
      </c>
      <c r="AJ69" s="2" t="n">
        <f aca="false">1-SUMPRODUCT(ABS(Tekstboek!$AH$33:$AU$33-Gebruikt!$AH$34:$AU$34))/14</f>
        <v>0.671428571428572</v>
      </c>
      <c r="AK69" s="2" t="n">
        <f aca="false">1-SUMPRODUCT(ABS(Tekstboek!$AH$33:$AU$33-Gebruikt!$AH$35:$AU$35))/14</f>
        <v>0.707142857142857</v>
      </c>
      <c r="AL69" s="2" t="n">
        <f aca="false">1-SUMPRODUCT(ABS(Tekstboek!$AH$33:$AU$33-Gebruikt!$AH$36:$AU$36))/14</f>
        <v>0.8</v>
      </c>
      <c r="AM69" s="2" t="n">
        <f aca="false">1-SUMPRODUCT(ABS(Tekstboek!$AH$33:$AU$33-Gebruikt!$AH$37:$AU$37))/14</f>
        <v>0.657142857142857</v>
      </c>
      <c r="AN69" s="2" t="n">
        <f aca="false">1-SUMPRODUCT(ABS(Tekstboek!$AH$33:$AU$33-Gebruikt!$AH$38:$AU$38))/14</f>
        <v>0.564285714285714</v>
      </c>
      <c r="AO69" s="2" t="n">
        <f aca="false">1-SUMPRODUCT(ABS(Tekstboek!$AH$33:$AU$33-Gebruikt!$AH$39:$AU$39))/14</f>
        <v>0.671428571428572</v>
      </c>
      <c r="AP69" s="2" t="n">
        <f aca="false">1-SUMPRODUCT(ABS(Tekstboek!$AH$33:$AU$33-Gebruikt!$AH$40:$AU$40))/14</f>
        <v>0.528571428571429</v>
      </c>
      <c r="AQ69" s="2" t="n">
        <f aca="false">1-SUMPRODUCT(ABS(Tekstboek!$AH$33:$AU$33-Gebruikt!$AH$41:$AU$41))/14</f>
        <v>0.578571428571429</v>
      </c>
      <c r="AR69" s="2" t="n">
        <f aca="false">1-SUMPRODUCT(ABS(Tekstboek!$AH$33:$AU$33-Gebruikt!$AH$42:$AU$42))/14</f>
        <v>0.528571428571429</v>
      </c>
      <c r="AS69" s="2" t="n">
        <f aca="false">1-SUMPRODUCT(ABS(Tekstboek!$AH$33:$AU$33-Gebruikt!$AH$43:$AU$43))/14</f>
        <v>0.564285714285714</v>
      </c>
      <c r="AT69" s="2" t="n">
        <f aca="false">1-SUMPRODUCT(ABS(Tekstboek!$AH$33:$AU$33-Gebruikt!$AH$44:$AU$44))/14</f>
        <v>0.707142857142857</v>
      </c>
      <c r="AU69" s="2" t="n">
        <f aca="false">1-SUMPRODUCT(ABS(Tekstboek!$AH$33:$AU$33-Gebruikt!$AH$45:$AU$45))/14</f>
        <v>0.564285714285714</v>
      </c>
      <c r="AV69" s="2" t="n">
        <f aca="false">1-SUMPRODUCT(ABS(Tekstboek!$AH$33:$AU$33-Gebruikt!$AH$46:$AU$46))/14</f>
        <v>0.892857142857143</v>
      </c>
      <c r="AW69" s="2" t="n">
        <f aca="false">1-SUMPRODUCT(ABS(Tekstboek!$AH$33:$AU$33-Gebruikt!$AH$47:$AU$47))/14</f>
        <v>0.528571428571429</v>
      </c>
      <c r="AX69" s="2" t="n">
        <f aca="false">1-SUMPRODUCT(ABS(Tekstboek!$AH$33:$AU$33-Gebruikt!$AH$48:$AU$48))/14</f>
        <v>0.564285714285714</v>
      </c>
    </row>
    <row r="70" customFormat="false" ht="15" hidden="false" customHeight="false" outlineLevel="0" collapsed="false">
      <c r="A70" s="8" t="str">
        <f aca="false">Tekstboek!A34</f>
        <v>B31</v>
      </c>
      <c r="B70" s="8" t="str">
        <f aca="false">Tekstboek!B34</f>
        <v>[n-bit] Bennett compute-copy-uncompute</v>
      </c>
      <c r="C70" s="2" t="n">
        <f aca="false">1-D70</f>
        <v>0.171428571428571</v>
      </c>
      <c r="D70" s="2" t="n">
        <f aca="false">MAX(F70:AX70)</f>
        <v>0.828571428571429</v>
      </c>
      <c r="E70" s="2" t="str">
        <f aca="false">INDEX(Gebruikt!$B$4:$B$48,MATCH(D70,F70:AX70,0))</f>
        <v>Karatsuba squaring (recursive, in place)</v>
      </c>
      <c r="F70" s="2" t="n">
        <f aca="false">1-SUMPRODUCT(ABS(Tekstboek!$AH$34:$AU$34-Gebruikt!$AH$4:$AU$4))/14</f>
        <v>0.657142857142857</v>
      </c>
      <c r="G70" s="2" t="n">
        <f aca="false">1-SUMPRODUCT(ABS(Tekstboek!$AH$34:$AU$34-Gebruikt!$AH$5:$AU$5))/14</f>
        <v>0.714285714285714</v>
      </c>
      <c r="H70" s="2" t="n">
        <f aca="false">1-SUMPRODUCT(ABS(Tekstboek!$AH$34:$AU$34-Gebruikt!$AH$6:$AU$6))/14</f>
        <v>0.714285714285714</v>
      </c>
      <c r="I70" s="2" t="n">
        <f aca="false">1-SUMPRODUCT(ABS(Tekstboek!$AH$34:$AU$34-Gebruikt!$AH$7:$AU$7))/14</f>
        <v>0.642857142857143</v>
      </c>
      <c r="J70" s="2" t="n">
        <f aca="false">1-SUMPRODUCT(ABS(Tekstboek!$AH$34:$AU$34-Gebruikt!$AH$8:$AU$8))/14</f>
        <v>0.75</v>
      </c>
      <c r="K70" s="2" t="n">
        <f aca="false">1-SUMPRODUCT(ABS(Tekstboek!$AH$34:$AU$34-Gebruikt!$AH$9:$AU$9))/14</f>
        <v>0.571428571428571</v>
      </c>
      <c r="L70" s="2" t="n">
        <f aca="false">1-SUMPRODUCT(ABS(Tekstboek!$AH$34:$AU$34-Gebruikt!$AH$10:$AU$10))/14</f>
        <v>0.571428571428571</v>
      </c>
      <c r="M70" s="2" t="n">
        <f aca="false">1-SUMPRODUCT(ABS(Tekstboek!$AH$34:$AU$34-Gebruikt!$AH$11:$AU$11))/14</f>
        <v>0.571428571428571</v>
      </c>
      <c r="N70" s="2" t="n">
        <f aca="false">1-SUMPRODUCT(ABS(Tekstboek!$AH$34:$AU$34-Gebruikt!$AH$12:$AU$12))/14</f>
        <v>0.535714285714286</v>
      </c>
      <c r="O70" s="2" t="n">
        <f aca="false">1-SUMPRODUCT(ABS(Tekstboek!$AH$34:$AU$34-Gebruikt!$AH$13:$AU$13))/14</f>
        <v>0.657142857142857</v>
      </c>
      <c r="P70" s="2" t="n">
        <f aca="false">1-SUMPRODUCT(ABS(Tekstboek!$AH$34:$AU$34-Gebruikt!$AH$14:$AU$14))/14</f>
        <v>0.642857142857143</v>
      </c>
      <c r="Q70" s="2" t="n">
        <f aca="false">1-SUMPRODUCT(ABS(Tekstboek!$AH$34:$AU$34-Gebruikt!$AH$15:$AU$15))/14</f>
        <v>0.714285714285714</v>
      </c>
      <c r="R70" s="2" t="n">
        <f aca="false">1-SUMPRODUCT(ABS(Tekstboek!$AH$34:$AU$34-Gebruikt!$AH$16:$AU$16))/14</f>
        <v>0.714285714285714</v>
      </c>
      <c r="S70" s="2" t="n">
        <f aca="false">1-SUMPRODUCT(ABS(Tekstboek!$AH$34:$AU$34-Gebruikt!$AH$17:$AU$17))/14</f>
        <v>0.607142857142857</v>
      </c>
      <c r="T70" s="2" t="n">
        <f aca="false">1-SUMPRODUCT(ABS(Tekstboek!$AH$34:$AU$34-Gebruikt!$AH$18:$AU$18))/14</f>
        <v>0.657142857142857</v>
      </c>
      <c r="U70" s="2" t="n">
        <f aca="false">1-SUMPRODUCT(ABS(Tekstboek!$AH$34:$AU$34-Gebruikt!$AH$19:$AU$19))/14</f>
        <v>0.714285714285714</v>
      </c>
      <c r="V70" s="2" t="n">
        <f aca="false">1-SUMPRODUCT(ABS(Tekstboek!$AH$34:$AU$34-Gebruikt!$AH$20:$AU$20))/14</f>
        <v>0.571428571428571</v>
      </c>
      <c r="W70" s="2" t="n">
        <f aca="false">1-SUMPRODUCT(ABS(Tekstboek!$AH$34:$AU$34-Gebruikt!$AH$21:$AU$21))/14</f>
        <v>0.714285714285714</v>
      </c>
      <c r="X70" s="2" t="n">
        <f aca="false">1-SUMPRODUCT(ABS(Tekstboek!$AH$34:$AU$34-Gebruikt!$AH$22:$AU$22))/14</f>
        <v>0.65</v>
      </c>
      <c r="Y70" s="2" t="n">
        <f aca="false">1-SUMPRODUCT(ABS(Tekstboek!$AH$34:$AU$34-Gebruikt!$AH$23:$AU$23))/14</f>
        <v>0.75</v>
      </c>
      <c r="Z70" s="2" t="n">
        <f aca="false">1-SUMPRODUCT(ABS(Tekstboek!$AH$34:$AU$34-Gebruikt!$AH$24:$AU$24))/14</f>
        <v>0.75</v>
      </c>
      <c r="AA70" s="2" t="n">
        <f aca="false">1-SUMPRODUCT(ABS(Tekstboek!$AH$34:$AU$34-Gebruikt!$AH$25:$AU$25))/14</f>
        <v>0.828571428571429</v>
      </c>
      <c r="AB70" s="2" t="n">
        <f aca="false">1-SUMPRODUCT(ABS(Tekstboek!$AH$34:$AU$34-Gebruikt!$AH$26:$AU$26))/14</f>
        <v>0.685714285714286</v>
      </c>
      <c r="AC70" s="2" t="n">
        <f aca="false">1-SUMPRODUCT(ABS(Tekstboek!$AH$34:$AU$34-Gebruikt!$AH$27:$AU$27))/14</f>
        <v>0.728571428571429</v>
      </c>
      <c r="AD70" s="2" t="n">
        <f aca="false">1-SUMPRODUCT(ABS(Tekstboek!$AH$34:$AU$34-Gebruikt!$AH$28:$AU$28))/14</f>
        <v>0.657142857142857</v>
      </c>
      <c r="AE70" s="2" t="n">
        <f aca="false">1-SUMPRODUCT(ABS(Tekstboek!$AH$34:$AU$34-Gebruikt!$AH$29:$AU$29))/14</f>
        <v>0.607142857142857</v>
      </c>
      <c r="AF70" s="2" t="n">
        <f aca="false">1-SUMPRODUCT(ABS(Tekstboek!$AH$34:$AU$34-Gebruikt!$AH$30:$AU$30))/14</f>
        <v>0.55</v>
      </c>
      <c r="AG70" s="2" t="n">
        <f aca="false">1-SUMPRODUCT(ABS(Tekstboek!$AH$34:$AU$34-Gebruikt!$AH$31:$AU$31))/14</f>
        <v>0.728571428571429</v>
      </c>
      <c r="AH70" s="2" t="n">
        <f aca="false">1-SUMPRODUCT(ABS(Tekstboek!$AH$34:$AU$34-Gebruikt!$AH$32:$AU$32))/14</f>
        <v>0.657142857142857</v>
      </c>
      <c r="AI70" s="2" t="n">
        <f aca="false">1-SUMPRODUCT(ABS(Tekstboek!$AH$34:$AU$34-Gebruikt!$AH$33:$AU$33))/14</f>
        <v>0.607142857142857</v>
      </c>
      <c r="AJ70" s="2" t="n">
        <f aca="false">1-SUMPRODUCT(ABS(Tekstboek!$AH$34:$AU$34-Gebruikt!$AH$34:$AU$34))/14</f>
        <v>0.714285714285714</v>
      </c>
      <c r="AK70" s="2" t="n">
        <f aca="false">1-SUMPRODUCT(ABS(Tekstboek!$AH$34:$AU$34-Gebruikt!$AH$35:$AU$35))/14</f>
        <v>0.75</v>
      </c>
      <c r="AL70" s="2" t="n">
        <f aca="false">1-SUMPRODUCT(ABS(Tekstboek!$AH$34:$AU$34-Gebruikt!$AH$36:$AU$36))/14</f>
        <v>0.728571428571429</v>
      </c>
      <c r="AM70" s="2" t="n">
        <f aca="false">1-SUMPRODUCT(ABS(Tekstboek!$AH$34:$AU$34-Gebruikt!$AH$37:$AU$37))/14</f>
        <v>0.585714285714286</v>
      </c>
      <c r="AN70" s="2" t="n">
        <f aca="false">1-SUMPRODUCT(ABS(Tekstboek!$AH$34:$AU$34-Gebruikt!$AH$38:$AU$38))/14</f>
        <v>0.607142857142857</v>
      </c>
      <c r="AO70" s="2" t="n">
        <f aca="false">1-SUMPRODUCT(ABS(Tekstboek!$AH$34:$AU$34-Gebruikt!$AH$39:$AU$39))/14</f>
        <v>0.571428571428571</v>
      </c>
      <c r="AP70" s="2" t="n">
        <f aca="false">1-SUMPRODUCT(ABS(Tekstboek!$AH$34:$AU$34-Gebruikt!$AH$40:$AU$40))/14</f>
        <v>0.571428571428571</v>
      </c>
      <c r="AQ70" s="2" t="n">
        <f aca="false">1-SUMPRODUCT(ABS(Tekstboek!$AH$34:$AU$34-Gebruikt!$AH$41:$AU$41))/14</f>
        <v>0.621428571428571</v>
      </c>
      <c r="AR70" s="2" t="n">
        <f aca="false">1-SUMPRODUCT(ABS(Tekstboek!$AH$34:$AU$34-Gebruikt!$AH$42:$AU$42))/14</f>
        <v>0.571428571428571</v>
      </c>
      <c r="AS70" s="2" t="n">
        <f aca="false">1-SUMPRODUCT(ABS(Tekstboek!$AH$34:$AU$34-Gebruikt!$AH$43:$AU$43))/14</f>
        <v>0.607142857142857</v>
      </c>
      <c r="AT70" s="2" t="n">
        <f aca="false">1-SUMPRODUCT(ABS(Tekstboek!$AH$34:$AU$34-Gebruikt!$AH$44:$AU$44))/14</f>
        <v>0.75</v>
      </c>
      <c r="AU70" s="2" t="n">
        <f aca="false">1-SUMPRODUCT(ABS(Tekstboek!$AH$34:$AU$34-Gebruikt!$AH$45:$AU$45))/14</f>
        <v>0.607142857142857</v>
      </c>
      <c r="AV70" s="2" t="n">
        <f aca="false">1-SUMPRODUCT(ABS(Tekstboek!$AH$34:$AU$34-Gebruikt!$AH$46:$AU$46))/14</f>
        <v>0.792857142857143</v>
      </c>
      <c r="AW70" s="2" t="n">
        <f aca="false">1-SUMPRODUCT(ABS(Tekstboek!$AH$34:$AU$34-Gebruikt!$AH$47:$AU$47))/14</f>
        <v>0.571428571428571</v>
      </c>
      <c r="AX70" s="2" t="n">
        <f aca="false">1-SUMPRODUCT(ABS(Tekstboek!$AH$34:$AU$34-Gebruikt!$AH$48:$AU$48))/14</f>
        <v>0.607142857142857</v>
      </c>
    </row>
    <row r="71" customFormat="false" ht="15" hidden="false" customHeight="false" outlineLevel="0" collapsed="false">
      <c r="A71" s="8" t="str">
        <f aca="false">Tekstboek!A35</f>
        <v>B32</v>
      </c>
      <c r="B71" s="8" t="str">
        <f aca="false">Tekstboek!B35</f>
        <v>[n-bit] Radix packing (5 trits / 8 bits; 17 trits / 27 bits)</v>
      </c>
      <c r="C71" s="2" t="n">
        <f aca="false">1-D71</f>
        <v>0.0285714285714286</v>
      </c>
      <c r="D71" s="2" t="n">
        <f aca="false">MAX(F71:AX71)</f>
        <v>0.971428571428571</v>
      </c>
      <c r="E71" s="2" t="str">
        <f aca="false">INDEX(Gebruikt!$B$4:$B$48,MATCH(D71,F71:AX71,0))</f>
        <v>Transcript compression codecs</v>
      </c>
      <c r="F71" s="2" t="n">
        <f aca="false">1-SUMPRODUCT(ABS(Tekstboek!$AH$35:$AU$35-Gebruikt!$AH$4:$AU$4))/14</f>
        <v>0.885714285714286</v>
      </c>
      <c r="G71" s="2" t="n">
        <f aca="false">1-SUMPRODUCT(ABS(Tekstboek!$AH$35:$AU$35-Gebruikt!$AH$5:$AU$5))/14</f>
        <v>0.685714285714286</v>
      </c>
      <c r="H71" s="2" t="n">
        <f aca="false">1-SUMPRODUCT(ABS(Tekstboek!$AH$35:$AU$35-Gebruikt!$AH$6:$AU$6))/14</f>
        <v>0.685714285714286</v>
      </c>
      <c r="I71" s="2" t="n">
        <f aca="false">1-SUMPRODUCT(ABS(Tekstboek!$AH$35:$AU$35-Gebruikt!$AH$7:$AU$7))/14</f>
        <v>0.614285714285714</v>
      </c>
      <c r="J71" s="2" t="n">
        <f aca="false">1-SUMPRODUCT(ABS(Tekstboek!$AH$35:$AU$35-Gebruikt!$AH$8:$AU$8))/14</f>
        <v>0.721428571428571</v>
      </c>
      <c r="K71" s="2" t="n">
        <f aca="false">1-SUMPRODUCT(ABS(Tekstboek!$AH$35:$AU$35-Gebruikt!$AH$9:$AU$9))/14</f>
        <v>0.685714285714286</v>
      </c>
      <c r="L71" s="2" t="n">
        <f aca="false">1-SUMPRODUCT(ABS(Tekstboek!$AH$35:$AU$35-Gebruikt!$AH$10:$AU$10))/14</f>
        <v>0.685714285714286</v>
      </c>
      <c r="M71" s="2" t="n">
        <f aca="false">1-SUMPRODUCT(ABS(Tekstboek!$AH$35:$AU$35-Gebruikt!$AH$11:$AU$11))/14</f>
        <v>0.685714285714286</v>
      </c>
      <c r="N71" s="2" t="n">
        <f aca="false">1-SUMPRODUCT(ABS(Tekstboek!$AH$35:$AU$35-Gebruikt!$AH$12:$AU$12))/14</f>
        <v>0.65</v>
      </c>
      <c r="O71" s="2" t="n">
        <f aca="false">1-SUMPRODUCT(ABS(Tekstboek!$AH$35:$AU$35-Gebruikt!$AH$13:$AU$13))/14</f>
        <v>0.771428571428571</v>
      </c>
      <c r="P71" s="2" t="n">
        <f aca="false">1-SUMPRODUCT(ABS(Tekstboek!$AH$35:$AU$35-Gebruikt!$AH$14:$AU$14))/14</f>
        <v>0.614285714285714</v>
      </c>
      <c r="Q71" s="2" t="n">
        <f aca="false">1-SUMPRODUCT(ABS(Tekstboek!$AH$35:$AU$35-Gebruikt!$AH$15:$AU$15))/14</f>
        <v>0.685714285714286</v>
      </c>
      <c r="R71" s="2" t="n">
        <f aca="false">1-SUMPRODUCT(ABS(Tekstboek!$AH$35:$AU$35-Gebruikt!$AH$16:$AU$16))/14</f>
        <v>0.685714285714286</v>
      </c>
      <c r="S71" s="2" t="n">
        <f aca="false">1-SUMPRODUCT(ABS(Tekstboek!$AH$35:$AU$35-Gebruikt!$AH$17:$AU$17))/14</f>
        <v>0.607142857142857</v>
      </c>
      <c r="T71" s="2" t="n">
        <f aca="false">1-SUMPRODUCT(ABS(Tekstboek!$AH$35:$AU$35-Gebruikt!$AH$18:$AU$18))/14</f>
        <v>0.885714285714286</v>
      </c>
      <c r="U71" s="2" t="n">
        <f aca="false">1-SUMPRODUCT(ABS(Tekstboek!$AH$35:$AU$35-Gebruikt!$AH$19:$AU$19))/14</f>
        <v>0.971428571428571</v>
      </c>
      <c r="V71" s="2" t="n">
        <f aca="false">1-SUMPRODUCT(ABS(Tekstboek!$AH$35:$AU$35-Gebruikt!$AH$20:$AU$20))/14</f>
        <v>0.685714285714286</v>
      </c>
      <c r="W71" s="2" t="n">
        <f aca="false">1-SUMPRODUCT(ABS(Tekstboek!$AH$35:$AU$35-Gebruikt!$AH$21:$AU$21))/14</f>
        <v>0.685714285714286</v>
      </c>
      <c r="X71" s="2" t="n">
        <f aca="false">1-SUMPRODUCT(ABS(Tekstboek!$AH$35:$AU$35-Gebruikt!$AH$22:$AU$22))/14</f>
        <v>0.707142857142857</v>
      </c>
      <c r="Y71" s="2" t="n">
        <f aca="false">1-SUMPRODUCT(ABS(Tekstboek!$AH$35:$AU$35-Gebruikt!$AH$23:$AU$23))/14</f>
        <v>0.721428571428571</v>
      </c>
      <c r="Z71" s="2" t="n">
        <f aca="false">1-SUMPRODUCT(ABS(Tekstboek!$AH$35:$AU$35-Gebruikt!$AH$24:$AU$24))/14</f>
        <v>0.721428571428571</v>
      </c>
      <c r="AA71" s="2" t="n">
        <f aca="false">1-SUMPRODUCT(ABS(Tekstboek!$AH$35:$AU$35-Gebruikt!$AH$25:$AU$25))/14</f>
        <v>0.885714285714286</v>
      </c>
      <c r="AB71" s="2" t="n">
        <f aca="false">1-SUMPRODUCT(ABS(Tekstboek!$AH$35:$AU$35-Gebruikt!$AH$26:$AU$26))/14</f>
        <v>0.742857142857143</v>
      </c>
      <c r="AC71" s="2" t="n">
        <f aca="false">1-SUMPRODUCT(ABS(Tekstboek!$AH$35:$AU$35-Gebruikt!$AH$27:$AU$27))/14</f>
        <v>0.842857142857143</v>
      </c>
      <c r="AD71" s="2" t="n">
        <f aca="false">1-SUMPRODUCT(ABS(Tekstboek!$AH$35:$AU$35-Gebruikt!$AH$28:$AU$28))/14</f>
        <v>0.771428571428571</v>
      </c>
      <c r="AE71" s="2" t="n">
        <f aca="false">1-SUMPRODUCT(ABS(Tekstboek!$AH$35:$AU$35-Gebruikt!$AH$29:$AU$29))/14</f>
        <v>0.578571428571429</v>
      </c>
      <c r="AF71" s="2" t="n">
        <f aca="false">1-SUMPRODUCT(ABS(Tekstboek!$AH$35:$AU$35-Gebruikt!$AH$30:$AU$30))/14</f>
        <v>0.521428571428571</v>
      </c>
      <c r="AG71" s="2" t="n">
        <f aca="false">1-SUMPRODUCT(ABS(Tekstboek!$AH$35:$AU$35-Gebruikt!$AH$31:$AU$31))/14</f>
        <v>0.957142857142857</v>
      </c>
      <c r="AH71" s="2" t="n">
        <f aca="false">1-SUMPRODUCT(ABS(Tekstboek!$AH$35:$AU$35-Gebruikt!$AH$32:$AU$32))/14</f>
        <v>0.885714285714286</v>
      </c>
      <c r="AI71" s="2" t="n">
        <f aca="false">1-SUMPRODUCT(ABS(Tekstboek!$AH$35:$AU$35-Gebruikt!$AH$33:$AU$33))/14</f>
        <v>0.578571428571429</v>
      </c>
      <c r="AJ71" s="2" t="n">
        <f aca="false">1-SUMPRODUCT(ABS(Tekstboek!$AH$35:$AU$35-Gebruikt!$AH$34:$AU$34))/14</f>
        <v>0.685714285714286</v>
      </c>
      <c r="AK71" s="2" t="n">
        <f aca="false">1-SUMPRODUCT(ABS(Tekstboek!$AH$35:$AU$35-Gebruikt!$AH$35:$AU$35))/14</f>
        <v>0.721428571428571</v>
      </c>
      <c r="AL71" s="2" t="n">
        <f aca="false">1-SUMPRODUCT(ABS(Tekstboek!$AH$35:$AU$35-Gebruikt!$AH$36:$AU$36))/14</f>
        <v>0.957142857142857</v>
      </c>
      <c r="AM71" s="2" t="n">
        <f aca="false">1-SUMPRODUCT(ABS(Tekstboek!$AH$35:$AU$35-Gebruikt!$AH$37:$AU$37))/14</f>
        <v>0.814285714285714</v>
      </c>
      <c r="AN71" s="2" t="n">
        <f aca="false">1-SUMPRODUCT(ABS(Tekstboek!$AH$35:$AU$35-Gebruikt!$AH$38:$AU$38))/14</f>
        <v>0.578571428571429</v>
      </c>
      <c r="AO71" s="2" t="n">
        <f aca="false">1-SUMPRODUCT(ABS(Tekstboek!$AH$35:$AU$35-Gebruikt!$AH$39:$AU$39))/14</f>
        <v>0.828571428571429</v>
      </c>
      <c r="AP71" s="2" t="n">
        <f aca="false">1-SUMPRODUCT(ABS(Tekstboek!$AH$35:$AU$35-Gebruikt!$AH$40:$AU$40))/14</f>
        <v>0.685714285714286</v>
      </c>
      <c r="AQ71" s="2" t="n">
        <f aca="false">1-SUMPRODUCT(ABS(Tekstboek!$AH$35:$AU$35-Gebruikt!$AH$41:$AU$41))/14</f>
        <v>0.592857142857143</v>
      </c>
      <c r="AR71" s="2" t="n">
        <f aca="false">1-SUMPRODUCT(ABS(Tekstboek!$AH$35:$AU$35-Gebruikt!$AH$42:$AU$42))/14</f>
        <v>0.685714285714286</v>
      </c>
      <c r="AS71" s="2" t="n">
        <f aca="false">1-SUMPRODUCT(ABS(Tekstboek!$AH$35:$AU$35-Gebruikt!$AH$43:$AU$43))/14</f>
        <v>0.607142857142857</v>
      </c>
      <c r="AT71" s="2" t="n">
        <f aca="false">1-SUMPRODUCT(ABS(Tekstboek!$AH$35:$AU$35-Gebruikt!$AH$44:$AU$44))/14</f>
        <v>0.75</v>
      </c>
      <c r="AU71" s="2" t="n">
        <f aca="false">1-SUMPRODUCT(ABS(Tekstboek!$AH$35:$AU$35-Gebruikt!$AH$45:$AU$45))/14</f>
        <v>0.607142857142857</v>
      </c>
      <c r="AV71" s="2" t="n">
        <f aca="false">1-SUMPRODUCT(ABS(Tekstboek!$AH$35:$AU$35-Gebruikt!$AH$46:$AU$46))/14</f>
        <v>0.85</v>
      </c>
      <c r="AW71" s="2" t="n">
        <f aca="false">1-SUMPRODUCT(ABS(Tekstboek!$AH$35:$AU$35-Gebruikt!$AH$47:$AU$47))/14</f>
        <v>0.685714285714286</v>
      </c>
      <c r="AX71" s="2" t="n">
        <f aca="false">1-SUMPRODUCT(ABS(Tekstboek!$AH$35:$AU$35-Gebruikt!$AH$48:$AU$48))/14</f>
        <v>0.607142857142857</v>
      </c>
    </row>
    <row r="72" customFormat="false" ht="15" hidden="false" customHeight="false" outlineLevel="0" collapsed="false">
      <c r="A72" s="8" t="str">
        <f aca="false">Tekstboek!A36</f>
        <v>B33</v>
      </c>
      <c r="B72" s="8" t="str">
        <f aca="false">Tekstboek!B36</f>
        <v>[n-bit] QROM unary iteration lookup</v>
      </c>
      <c r="C72" s="2" t="n">
        <f aca="false">1-D72</f>
        <v>0.257142857142857</v>
      </c>
      <c r="D72" s="2" t="n">
        <f aca="false">MAX(F72:AX72)</f>
        <v>0.742857142857143</v>
      </c>
      <c r="E72" s="2" t="str">
        <f aca="false">INDEX(Gebruikt!$B$4:$B$48,MATCH(D72,F72:AX72,0))</f>
        <v>Classical offset point held in classical bit registers</v>
      </c>
      <c r="F72" s="2" t="n">
        <f aca="false">1-SUMPRODUCT(ABS(Tekstboek!$AH$36:$AU$36-Gebruikt!$AH$4:$AU$4))/14</f>
        <v>0.635714285714286</v>
      </c>
      <c r="G72" s="2" t="n">
        <f aca="false">1-SUMPRODUCT(ABS(Tekstboek!$AH$36:$AU$36-Gebruikt!$AH$5:$AU$5))/14</f>
        <v>0.507142857142857</v>
      </c>
      <c r="H72" s="2" t="n">
        <f aca="false">1-SUMPRODUCT(ABS(Tekstboek!$AH$36:$AU$36-Gebruikt!$AH$6:$AU$6))/14</f>
        <v>0.507142857142857</v>
      </c>
      <c r="I72" s="2" t="n">
        <f aca="false">1-SUMPRODUCT(ABS(Tekstboek!$AH$36:$AU$36-Gebruikt!$AH$7:$AU$7))/14</f>
        <v>0.578571428571429</v>
      </c>
      <c r="J72" s="2" t="n">
        <f aca="false">1-SUMPRODUCT(ABS(Tekstboek!$AH$36:$AU$36-Gebruikt!$AH$8:$AU$8))/14</f>
        <v>0.542857142857143</v>
      </c>
      <c r="K72" s="2" t="n">
        <f aca="false">1-SUMPRODUCT(ABS(Tekstboek!$AH$36:$AU$36-Gebruikt!$AH$9:$AU$9))/14</f>
        <v>0.335714285714286</v>
      </c>
      <c r="L72" s="2" t="n">
        <f aca="false">1-SUMPRODUCT(ABS(Tekstboek!$AH$36:$AU$36-Gebruikt!$AH$10:$AU$10))/14</f>
        <v>0.335714285714286</v>
      </c>
      <c r="M72" s="2" t="n">
        <f aca="false">1-SUMPRODUCT(ABS(Tekstboek!$AH$36:$AU$36-Gebruikt!$AH$11:$AU$11))/14</f>
        <v>0.335714285714286</v>
      </c>
      <c r="N72" s="2" t="n">
        <f aca="false">1-SUMPRODUCT(ABS(Tekstboek!$AH$36:$AU$36-Gebruikt!$AH$12:$AU$12))/14</f>
        <v>0.442857142857143</v>
      </c>
      <c r="O72" s="2" t="n">
        <f aca="false">1-SUMPRODUCT(ABS(Tekstboek!$AH$36:$AU$36-Gebruikt!$AH$13:$AU$13))/14</f>
        <v>0.664285714285714</v>
      </c>
      <c r="P72" s="2" t="n">
        <f aca="false">1-SUMPRODUCT(ABS(Tekstboek!$AH$36:$AU$36-Gebruikt!$AH$14:$AU$14))/14</f>
        <v>0.407142857142857</v>
      </c>
      <c r="Q72" s="2" t="n">
        <f aca="false">1-SUMPRODUCT(ABS(Tekstboek!$AH$36:$AU$36-Gebruikt!$AH$15:$AU$15))/14</f>
        <v>0.478571428571429</v>
      </c>
      <c r="R72" s="2" t="n">
        <f aca="false">1-SUMPRODUCT(ABS(Tekstboek!$AH$36:$AU$36-Gebruikt!$AH$16:$AU$16))/14</f>
        <v>0.478571428571429</v>
      </c>
      <c r="S72" s="2" t="n">
        <f aca="false">1-SUMPRODUCT(ABS(Tekstboek!$AH$36:$AU$36-Gebruikt!$AH$17:$AU$17))/14</f>
        <v>0.685714285714286</v>
      </c>
      <c r="T72" s="2" t="n">
        <f aca="false">1-SUMPRODUCT(ABS(Tekstboek!$AH$36:$AU$36-Gebruikt!$AH$18:$AU$18))/14</f>
        <v>0.635714285714286</v>
      </c>
      <c r="U72" s="2" t="n">
        <f aca="false">1-SUMPRODUCT(ABS(Tekstboek!$AH$36:$AU$36-Gebruikt!$AH$19:$AU$19))/14</f>
        <v>0.578571428571429</v>
      </c>
      <c r="V72" s="2" t="n">
        <f aca="false">1-SUMPRODUCT(ABS(Tekstboek!$AH$36:$AU$36-Gebruikt!$AH$20:$AU$20))/14</f>
        <v>0.335714285714286</v>
      </c>
      <c r="W72" s="2" t="n">
        <f aca="false">1-SUMPRODUCT(ABS(Tekstboek!$AH$36:$AU$36-Gebruikt!$AH$21:$AU$21))/14</f>
        <v>0.507142857142857</v>
      </c>
      <c r="X72" s="2" t="n">
        <f aca="false">1-SUMPRODUCT(ABS(Tekstboek!$AH$36:$AU$36-Gebruikt!$AH$22:$AU$22))/14</f>
        <v>0.7</v>
      </c>
      <c r="Y72" s="2" t="n">
        <f aca="false">1-SUMPRODUCT(ABS(Tekstboek!$AH$36:$AU$36-Gebruikt!$AH$23:$AU$23))/14</f>
        <v>0.542857142857143</v>
      </c>
      <c r="Z72" s="2" t="n">
        <f aca="false">1-SUMPRODUCT(ABS(Tekstboek!$AH$36:$AU$36-Gebruikt!$AH$24:$AU$24))/14</f>
        <v>0.542857142857143</v>
      </c>
      <c r="AA72" s="2" t="n">
        <f aca="false">1-SUMPRODUCT(ABS(Tekstboek!$AH$36:$AU$36-Gebruikt!$AH$25:$AU$25))/14</f>
        <v>0.664285714285714</v>
      </c>
      <c r="AB72" s="2" t="n">
        <f aca="false">1-SUMPRODUCT(ABS(Tekstboek!$AH$36:$AU$36-Gebruikt!$AH$26:$AU$26))/14</f>
        <v>0.664285714285714</v>
      </c>
      <c r="AC72" s="2" t="n">
        <f aca="false">1-SUMPRODUCT(ABS(Tekstboek!$AH$36:$AU$36-Gebruikt!$AH$27:$AU$27))/14</f>
        <v>0.735714285714286</v>
      </c>
      <c r="AD72" s="2" t="n">
        <f aca="false">1-SUMPRODUCT(ABS(Tekstboek!$AH$36:$AU$36-Gebruikt!$AH$28:$AU$28))/14</f>
        <v>0.664285714285714</v>
      </c>
      <c r="AE72" s="2" t="n">
        <f aca="false">1-SUMPRODUCT(ABS(Tekstboek!$AH$36:$AU$36-Gebruikt!$AH$29:$AU$29))/14</f>
        <v>0.685714285714286</v>
      </c>
      <c r="AF72" s="2" t="n">
        <f aca="false">1-SUMPRODUCT(ABS(Tekstboek!$AH$36:$AU$36-Gebruikt!$AH$30:$AU$30))/14</f>
        <v>0.742857142857143</v>
      </c>
      <c r="AG72" s="2" t="n">
        <f aca="false">1-SUMPRODUCT(ABS(Tekstboek!$AH$36:$AU$36-Gebruikt!$AH$31:$AU$31))/14</f>
        <v>0.564285714285714</v>
      </c>
      <c r="AH72" s="2" t="n">
        <f aca="false">1-SUMPRODUCT(ABS(Tekstboek!$AH$36:$AU$36-Gebruikt!$AH$32:$AU$32))/14</f>
        <v>0.635714285714286</v>
      </c>
      <c r="AI72" s="2" t="n">
        <f aca="false">1-SUMPRODUCT(ABS(Tekstboek!$AH$36:$AU$36-Gebruikt!$AH$33:$AU$33))/14</f>
        <v>0.542857142857143</v>
      </c>
      <c r="AJ72" s="2" t="n">
        <f aca="false">1-SUMPRODUCT(ABS(Tekstboek!$AH$36:$AU$36-Gebruikt!$AH$34:$AU$34))/14</f>
        <v>0.507142857142857</v>
      </c>
      <c r="AK72" s="2" t="n">
        <f aca="false">1-SUMPRODUCT(ABS(Tekstboek!$AH$36:$AU$36-Gebruikt!$AH$35:$AU$35))/14</f>
        <v>0.542857142857143</v>
      </c>
      <c r="AL72" s="2" t="n">
        <f aca="false">1-SUMPRODUCT(ABS(Tekstboek!$AH$36:$AU$36-Gebruikt!$AH$36:$AU$36))/14</f>
        <v>0.564285714285714</v>
      </c>
      <c r="AM72" s="2" t="n">
        <f aca="false">1-SUMPRODUCT(ABS(Tekstboek!$AH$36:$AU$36-Gebruikt!$AH$37:$AU$37))/14</f>
        <v>0.564285714285714</v>
      </c>
      <c r="AN72" s="2" t="n">
        <f aca="false">1-SUMPRODUCT(ABS(Tekstboek!$AH$36:$AU$36-Gebruikt!$AH$38:$AU$38))/14</f>
        <v>0.685714285714286</v>
      </c>
      <c r="AO72" s="2" t="n">
        <f aca="false">1-SUMPRODUCT(ABS(Tekstboek!$AH$36:$AU$36-Gebruikt!$AH$39:$AU$39))/14</f>
        <v>0.578571428571429</v>
      </c>
      <c r="AP72" s="2" t="n">
        <f aca="false">1-SUMPRODUCT(ABS(Tekstboek!$AH$36:$AU$36-Gebruikt!$AH$40:$AU$40))/14</f>
        <v>0.335714285714286</v>
      </c>
      <c r="AQ72" s="2" t="n">
        <f aca="false">1-SUMPRODUCT(ABS(Tekstboek!$AH$36:$AU$36-Gebruikt!$AH$41:$AU$41))/14</f>
        <v>0.671428571428572</v>
      </c>
      <c r="AR72" s="2" t="n">
        <f aca="false">1-SUMPRODUCT(ABS(Tekstboek!$AH$36:$AU$36-Gebruikt!$AH$42:$AU$42))/14</f>
        <v>0.335714285714286</v>
      </c>
      <c r="AS72" s="2" t="n">
        <f aca="false">1-SUMPRODUCT(ABS(Tekstboek!$AH$36:$AU$36-Gebruikt!$AH$43:$AU$43))/14</f>
        <v>0.542857142857143</v>
      </c>
      <c r="AT72" s="2" t="n">
        <f aca="false">1-SUMPRODUCT(ABS(Tekstboek!$AH$36:$AU$36-Gebruikt!$AH$44:$AU$44))/14</f>
        <v>0.542857142857143</v>
      </c>
      <c r="AU72" s="2" t="n">
        <f aca="false">1-SUMPRODUCT(ABS(Tekstboek!$AH$36:$AU$36-Gebruikt!$AH$45:$AU$45))/14</f>
        <v>0.542857142857143</v>
      </c>
      <c r="AV72" s="2" t="n">
        <f aca="false">1-SUMPRODUCT(ABS(Tekstboek!$AH$36:$AU$36-Gebruikt!$AH$46:$AU$46))/14</f>
        <v>0.7</v>
      </c>
      <c r="AW72" s="2" t="n">
        <f aca="false">1-SUMPRODUCT(ABS(Tekstboek!$AH$36:$AU$36-Gebruikt!$AH$47:$AU$47))/14</f>
        <v>0.335714285714286</v>
      </c>
      <c r="AX72" s="2" t="n">
        <f aca="false">1-SUMPRODUCT(ABS(Tekstboek!$AH$36:$AU$36-Gebruikt!$AH$48:$AU$48))/14</f>
        <v>0.685714285714286</v>
      </c>
    </row>
    <row r="73" customFormat="false" ht="15" hidden="false" customHeight="false" outlineLevel="0" collapsed="false">
      <c r="A73" s="8" t="str">
        <f aca="false">Tekstboek!A37</f>
        <v>B34</v>
      </c>
      <c r="B73" s="8" t="str">
        <f aca="false">Tekstboek!B37</f>
        <v>[n-bit] QFT (Fourier transform)</v>
      </c>
      <c r="C73" s="2" t="n">
        <f aca="false">1-D73</f>
        <v>0.285714285714286</v>
      </c>
      <c r="D73" s="2" t="n">
        <f aca="false">MAX(F73:AX73)</f>
        <v>0.714285714285714</v>
      </c>
      <c r="E73" s="2" t="str">
        <f aca="false">INDEX(Gebruikt!$B$4:$B$48,MATCH(D73,F73:AX73,0))</f>
        <v>(r,s) cswap boundary merge</v>
      </c>
      <c r="F73" s="2" t="n">
        <f aca="false">1-SUMPRODUCT(ABS(Tekstboek!$AH$37:$AU$37-Gebruikt!$AH$4:$AU$4))/14</f>
        <v>0.371428571428571</v>
      </c>
      <c r="G73" s="2" t="n">
        <f aca="false">1-SUMPRODUCT(ABS(Tekstboek!$AH$37:$AU$37-Gebruikt!$AH$5:$AU$5))/14</f>
        <v>0.714285714285714</v>
      </c>
      <c r="H73" s="2" t="n">
        <f aca="false">1-SUMPRODUCT(ABS(Tekstboek!$AH$37:$AU$37-Gebruikt!$AH$6:$AU$6))/14</f>
        <v>0.714285714285714</v>
      </c>
      <c r="I73" s="2" t="n">
        <f aca="false">1-SUMPRODUCT(ABS(Tekstboek!$AH$37:$AU$37-Gebruikt!$AH$7:$AU$7))/14</f>
        <v>0.5</v>
      </c>
      <c r="J73" s="2" t="n">
        <f aca="false">1-SUMPRODUCT(ABS(Tekstboek!$AH$37:$AU$37-Gebruikt!$AH$8:$AU$8))/14</f>
        <v>0.678571428571429</v>
      </c>
      <c r="K73" s="2" t="n">
        <f aca="false">1-SUMPRODUCT(ABS(Tekstboek!$AH$37:$AU$37-Gebruikt!$AH$9:$AU$9))/14</f>
        <v>0.571428571428571</v>
      </c>
      <c r="L73" s="2" t="n">
        <f aca="false">1-SUMPRODUCT(ABS(Tekstboek!$AH$37:$AU$37-Gebruikt!$AH$10:$AU$10))/14</f>
        <v>0.571428571428571</v>
      </c>
      <c r="M73" s="2" t="n">
        <f aca="false">1-SUMPRODUCT(ABS(Tekstboek!$AH$37:$AU$37-Gebruikt!$AH$11:$AU$11))/14</f>
        <v>0.571428571428571</v>
      </c>
      <c r="N73" s="2" t="n">
        <f aca="false">1-SUMPRODUCT(ABS(Tekstboek!$AH$37:$AU$37-Gebruikt!$AH$12:$AU$12))/14</f>
        <v>0.464285714285714</v>
      </c>
      <c r="O73" s="2" t="n">
        <f aca="false">1-SUMPRODUCT(ABS(Tekstboek!$AH$37:$AU$37-Gebruikt!$AH$13:$AU$13))/14</f>
        <v>0.371428571428571</v>
      </c>
      <c r="P73" s="2" t="n">
        <f aca="false">1-SUMPRODUCT(ABS(Tekstboek!$AH$37:$AU$37-Gebruikt!$AH$14:$AU$14))/14</f>
        <v>0.642857142857143</v>
      </c>
      <c r="Q73" s="2" t="n">
        <f aca="false">1-SUMPRODUCT(ABS(Tekstboek!$AH$37:$AU$37-Gebruikt!$AH$15:$AU$15))/14</f>
        <v>0.714285714285714</v>
      </c>
      <c r="R73" s="2" t="n">
        <f aca="false">1-SUMPRODUCT(ABS(Tekstboek!$AH$37:$AU$37-Gebruikt!$AH$16:$AU$16))/14</f>
        <v>0.714285714285714</v>
      </c>
      <c r="S73" s="2" t="n">
        <f aca="false">1-SUMPRODUCT(ABS(Tekstboek!$AH$37:$AU$37-Gebruikt!$AH$17:$AU$17))/14</f>
        <v>0.535714285714286</v>
      </c>
      <c r="T73" s="2" t="n">
        <f aca="false">1-SUMPRODUCT(ABS(Tekstboek!$AH$37:$AU$37-Gebruikt!$AH$18:$AU$18))/14</f>
        <v>0.371428571428571</v>
      </c>
      <c r="U73" s="2" t="n">
        <f aca="false">1-SUMPRODUCT(ABS(Tekstboek!$AH$37:$AU$37-Gebruikt!$AH$19:$AU$19))/14</f>
        <v>0.428571428571429</v>
      </c>
      <c r="V73" s="2" t="n">
        <f aca="false">1-SUMPRODUCT(ABS(Tekstboek!$AH$37:$AU$37-Gebruikt!$AH$20:$AU$20))/14</f>
        <v>0.571428571428571</v>
      </c>
      <c r="W73" s="2" t="n">
        <f aca="false">1-SUMPRODUCT(ABS(Tekstboek!$AH$37:$AU$37-Gebruikt!$AH$21:$AU$21))/14</f>
        <v>0.714285714285714</v>
      </c>
      <c r="X73" s="2" t="n">
        <f aca="false">1-SUMPRODUCT(ABS(Tekstboek!$AH$37:$AU$37-Gebruikt!$AH$22:$AU$22))/14</f>
        <v>0.435714285714286</v>
      </c>
      <c r="Y73" s="2" t="n">
        <f aca="false">1-SUMPRODUCT(ABS(Tekstboek!$AH$37:$AU$37-Gebruikt!$AH$23:$AU$23))/14</f>
        <v>0.678571428571429</v>
      </c>
      <c r="Z73" s="2" t="n">
        <f aca="false">1-SUMPRODUCT(ABS(Tekstboek!$AH$37:$AU$37-Gebruikt!$AH$24:$AU$24))/14</f>
        <v>0.678571428571429</v>
      </c>
      <c r="AA73" s="2" t="n">
        <f aca="false">1-SUMPRODUCT(ABS(Tekstboek!$AH$37:$AU$37-Gebruikt!$AH$25:$AU$25))/14</f>
        <v>0.542857142857143</v>
      </c>
      <c r="AB73" s="2" t="n">
        <f aca="false">1-SUMPRODUCT(ABS(Tekstboek!$AH$37:$AU$37-Gebruikt!$AH$26:$AU$26))/14</f>
        <v>0.4</v>
      </c>
      <c r="AC73" s="2" t="n">
        <f aca="false">1-SUMPRODUCT(ABS(Tekstboek!$AH$37:$AU$37-Gebruikt!$AH$27:$AU$27))/14</f>
        <v>0.442857142857143</v>
      </c>
      <c r="AD73" s="2" t="n">
        <f aca="false">1-SUMPRODUCT(ABS(Tekstboek!$AH$37:$AU$37-Gebruikt!$AH$28:$AU$28))/14</f>
        <v>0.371428571428571</v>
      </c>
      <c r="AE73" s="2" t="n">
        <f aca="false">1-SUMPRODUCT(ABS(Tekstboek!$AH$37:$AU$37-Gebruikt!$AH$29:$AU$29))/14</f>
        <v>0.535714285714286</v>
      </c>
      <c r="AF73" s="2" t="n">
        <f aca="false">1-SUMPRODUCT(ABS(Tekstboek!$AH$37:$AU$37-Gebruikt!$AH$30:$AU$30))/14</f>
        <v>0.478571428571429</v>
      </c>
      <c r="AG73" s="2" t="n">
        <f aca="false">1-SUMPRODUCT(ABS(Tekstboek!$AH$37:$AU$37-Gebruikt!$AH$31:$AU$31))/14</f>
        <v>0.442857142857143</v>
      </c>
      <c r="AH73" s="2" t="n">
        <f aca="false">1-SUMPRODUCT(ABS(Tekstboek!$AH$37:$AU$37-Gebruikt!$AH$32:$AU$32))/14</f>
        <v>0.371428571428571</v>
      </c>
      <c r="AI73" s="2" t="n">
        <f aca="false">1-SUMPRODUCT(ABS(Tekstboek!$AH$37:$AU$37-Gebruikt!$AH$33:$AU$33))/14</f>
        <v>0.535714285714286</v>
      </c>
      <c r="AJ73" s="2" t="n">
        <f aca="false">1-SUMPRODUCT(ABS(Tekstboek!$AH$37:$AU$37-Gebruikt!$AH$34:$AU$34))/14</f>
        <v>0.714285714285714</v>
      </c>
      <c r="AK73" s="2" t="n">
        <f aca="false">1-SUMPRODUCT(ABS(Tekstboek!$AH$37:$AU$37-Gebruikt!$AH$35:$AU$35))/14</f>
        <v>0.678571428571429</v>
      </c>
      <c r="AL73" s="2" t="n">
        <f aca="false">1-SUMPRODUCT(ABS(Tekstboek!$AH$37:$AU$37-Gebruikt!$AH$36:$AU$36))/14</f>
        <v>0.442857142857143</v>
      </c>
      <c r="AM73" s="2" t="n">
        <f aca="false">1-SUMPRODUCT(ABS(Tekstboek!$AH$37:$AU$37-Gebruikt!$AH$37:$AU$37))/14</f>
        <v>0.3</v>
      </c>
      <c r="AN73" s="2" t="n">
        <f aca="false">1-SUMPRODUCT(ABS(Tekstboek!$AH$37:$AU$37-Gebruikt!$AH$38:$AU$38))/14</f>
        <v>0.535714285714286</v>
      </c>
      <c r="AO73" s="2" t="n">
        <f aca="false">1-SUMPRODUCT(ABS(Tekstboek!$AH$37:$AU$37-Gebruikt!$AH$39:$AU$39))/14</f>
        <v>0.285714285714286</v>
      </c>
      <c r="AP73" s="2" t="n">
        <f aca="false">1-SUMPRODUCT(ABS(Tekstboek!$AH$37:$AU$37-Gebruikt!$AH$40:$AU$40))/14</f>
        <v>0.571428571428571</v>
      </c>
      <c r="AQ73" s="2" t="n">
        <f aca="false">1-SUMPRODUCT(ABS(Tekstboek!$AH$37:$AU$37-Gebruikt!$AH$41:$AU$41))/14</f>
        <v>0.55</v>
      </c>
      <c r="AR73" s="2" t="n">
        <f aca="false">1-SUMPRODUCT(ABS(Tekstboek!$AH$37:$AU$37-Gebruikt!$AH$42:$AU$42))/14</f>
        <v>0.571428571428571</v>
      </c>
      <c r="AS73" s="2" t="n">
        <f aca="false">1-SUMPRODUCT(ABS(Tekstboek!$AH$37:$AU$37-Gebruikt!$AH$43:$AU$43))/14</f>
        <v>0.535714285714286</v>
      </c>
      <c r="AT73" s="2" t="n">
        <f aca="false">1-SUMPRODUCT(ABS(Tekstboek!$AH$37:$AU$37-Gebruikt!$AH$44:$AU$44))/14</f>
        <v>0.678571428571429</v>
      </c>
      <c r="AU73" s="2" t="n">
        <f aca="false">1-SUMPRODUCT(ABS(Tekstboek!$AH$37:$AU$37-Gebruikt!$AH$45:$AU$45))/14</f>
        <v>0.535714285714286</v>
      </c>
      <c r="AV73" s="2" t="n">
        <f aca="false">1-SUMPRODUCT(ABS(Tekstboek!$AH$37:$AU$37-Gebruikt!$AH$46:$AU$46))/14</f>
        <v>0.578571428571429</v>
      </c>
      <c r="AW73" s="2" t="n">
        <f aca="false">1-SUMPRODUCT(ABS(Tekstboek!$AH$37:$AU$37-Gebruikt!$AH$47:$AU$47))/14</f>
        <v>0.571428571428571</v>
      </c>
      <c r="AX73" s="2" t="n">
        <f aca="false">1-SUMPRODUCT(ABS(Tekstboek!$AH$37:$AU$37-Gebruikt!$AH$48:$AU$48))/14</f>
        <v>0.535714285714286</v>
      </c>
    </row>
    <row r="74" customFormat="false" ht="15" hidden="false" customHeight="false" outlineLevel="0" collapsed="false">
      <c r="A74" s="8" t="str">
        <f aca="false">Tekstboek!A38</f>
        <v>B35</v>
      </c>
      <c r="B74" s="8" t="str">
        <f aca="false">Tekstboek!B38</f>
        <v>[n-bit] Half-delta divsteps step (swap, add/sub, halve)</v>
      </c>
      <c r="C74" s="2" t="n">
        <f aca="false">1-D74</f>
        <v>0.0857142857142857</v>
      </c>
      <c r="D74" s="2" t="n">
        <f aca="false">MAX(F74:AX74)</f>
        <v>0.914285714285714</v>
      </c>
      <c r="E74" s="2" t="str">
        <f aca="false">INDEX(Gebruikt!$B$4:$B$48,MATCH(D74,F74:AX74,0))</f>
        <v>Multi-bit shift per GCD step (jump-GCD K=2 to 8-way barrel e&lt;=7)</v>
      </c>
      <c r="F74" s="2" t="n">
        <f aca="false">1-SUMPRODUCT(ABS(Tekstboek!$AH$38:$AU$38-Gebruikt!$AH$4:$AU$4))/14</f>
        <v>0.842857142857143</v>
      </c>
      <c r="G74" s="2" t="n">
        <f aca="false">1-SUMPRODUCT(ABS(Tekstboek!$AH$38:$AU$38-Gebruikt!$AH$5:$AU$5))/14</f>
        <v>0.614285714285714</v>
      </c>
      <c r="H74" s="2" t="n">
        <f aca="false">1-SUMPRODUCT(ABS(Tekstboek!$AH$38:$AU$38-Gebruikt!$AH$6:$AU$6))/14</f>
        <v>0.614285714285714</v>
      </c>
      <c r="I74" s="2" t="n">
        <f aca="false">1-SUMPRODUCT(ABS(Tekstboek!$AH$38:$AU$38-Gebruikt!$AH$7:$AU$7))/14</f>
        <v>0.542857142857143</v>
      </c>
      <c r="J74" s="2" t="n">
        <f aca="false">1-SUMPRODUCT(ABS(Tekstboek!$AH$38:$AU$38-Gebruikt!$AH$8:$AU$8))/14</f>
        <v>0.65</v>
      </c>
      <c r="K74" s="2" t="n">
        <f aca="false">1-SUMPRODUCT(ABS(Tekstboek!$AH$38:$AU$38-Gebruikt!$AH$9:$AU$9))/14</f>
        <v>0.585714285714286</v>
      </c>
      <c r="L74" s="2" t="n">
        <f aca="false">1-SUMPRODUCT(ABS(Tekstboek!$AH$38:$AU$38-Gebruikt!$AH$10:$AU$10))/14</f>
        <v>0.585714285714286</v>
      </c>
      <c r="M74" s="2" t="n">
        <f aca="false">1-SUMPRODUCT(ABS(Tekstboek!$AH$38:$AU$38-Gebruikt!$AH$11:$AU$11))/14</f>
        <v>0.585714285714286</v>
      </c>
      <c r="N74" s="2" t="n">
        <f aca="false">1-SUMPRODUCT(ABS(Tekstboek!$AH$38:$AU$38-Gebruikt!$AH$12:$AU$12))/14</f>
        <v>0.55</v>
      </c>
      <c r="O74" s="2" t="n">
        <f aca="false">1-SUMPRODUCT(ABS(Tekstboek!$AH$38:$AU$38-Gebruikt!$AH$13:$AU$13))/14</f>
        <v>0.7</v>
      </c>
      <c r="P74" s="2" t="n">
        <f aca="false">1-SUMPRODUCT(ABS(Tekstboek!$AH$38:$AU$38-Gebruikt!$AH$14:$AU$14))/14</f>
        <v>0.514285714285714</v>
      </c>
      <c r="Q74" s="2" t="n">
        <f aca="false">1-SUMPRODUCT(ABS(Tekstboek!$AH$38:$AU$38-Gebruikt!$AH$15:$AU$15))/14</f>
        <v>0.585714285714286</v>
      </c>
      <c r="R74" s="2" t="n">
        <f aca="false">1-SUMPRODUCT(ABS(Tekstboek!$AH$38:$AU$38-Gebruikt!$AH$16:$AU$16))/14</f>
        <v>0.585714285714286</v>
      </c>
      <c r="S74" s="2" t="n">
        <f aca="false">1-SUMPRODUCT(ABS(Tekstboek!$AH$38:$AU$38-Gebruikt!$AH$17:$AU$17))/14</f>
        <v>0.507142857142857</v>
      </c>
      <c r="T74" s="2" t="n">
        <f aca="false">1-SUMPRODUCT(ABS(Tekstboek!$AH$38:$AU$38-Gebruikt!$AH$18:$AU$18))/14</f>
        <v>0.842857142857143</v>
      </c>
      <c r="U74" s="2" t="n">
        <f aca="false">1-SUMPRODUCT(ABS(Tekstboek!$AH$38:$AU$38-Gebruikt!$AH$19:$AU$19))/14</f>
        <v>0.9</v>
      </c>
      <c r="V74" s="2" t="n">
        <f aca="false">1-SUMPRODUCT(ABS(Tekstboek!$AH$38:$AU$38-Gebruikt!$AH$20:$AU$20))/14</f>
        <v>0.585714285714286</v>
      </c>
      <c r="W74" s="2" t="n">
        <f aca="false">1-SUMPRODUCT(ABS(Tekstboek!$AH$38:$AU$38-Gebruikt!$AH$21:$AU$21))/14</f>
        <v>0.614285714285714</v>
      </c>
      <c r="X74" s="2" t="n">
        <f aca="false">1-SUMPRODUCT(ABS(Tekstboek!$AH$38:$AU$38-Gebruikt!$AH$22:$AU$22))/14</f>
        <v>0.635714285714286</v>
      </c>
      <c r="Y74" s="2" t="n">
        <f aca="false">1-SUMPRODUCT(ABS(Tekstboek!$AH$38:$AU$38-Gebruikt!$AH$23:$AU$23))/14</f>
        <v>0.65</v>
      </c>
      <c r="Z74" s="2" t="n">
        <f aca="false">1-SUMPRODUCT(ABS(Tekstboek!$AH$38:$AU$38-Gebruikt!$AH$24:$AU$24))/14</f>
        <v>0.65</v>
      </c>
      <c r="AA74" s="2" t="n">
        <f aca="false">1-SUMPRODUCT(ABS(Tekstboek!$AH$38:$AU$38-Gebruikt!$AH$25:$AU$25))/14</f>
        <v>0.842857142857143</v>
      </c>
      <c r="AB74" s="2" t="n">
        <f aca="false">1-SUMPRODUCT(ABS(Tekstboek!$AH$38:$AU$38-Gebruikt!$AH$26:$AU$26))/14</f>
        <v>0.7</v>
      </c>
      <c r="AC74" s="2" t="n">
        <f aca="false">1-SUMPRODUCT(ABS(Tekstboek!$AH$38:$AU$38-Gebruikt!$AH$27:$AU$27))/14</f>
        <v>0.771428571428571</v>
      </c>
      <c r="AD74" s="2" t="n">
        <f aca="false">1-SUMPRODUCT(ABS(Tekstboek!$AH$38:$AU$38-Gebruikt!$AH$28:$AU$28))/14</f>
        <v>0.7</v>
      </c>
      <c r="AE74" s="2" t="n">
        <f aca="false">1-SUMPRODUCT(ABS(Tekstboek!$AH$38:$AU$38-Gebruikt!$AH$29:$AU$29))/14</f>
        <v>0.507142857142857</v>
      </c>
      <c r="AF74" s="2" t="n">
        <f aca="false">1-SUMPRODUCT(ABS(Tekstboek!$AH$38:$AU$38-Gebruikt!$AH$30:$AU$30))/14</f>
        <v>0.421428571428572</v>
      </c>
      <c r="AG74" s="2" t="n">
        <f aca="false">1-SUMPRODUCT(ABS(Tekstboek!$AH$38:$AU$38-Gebruikt!$AH$31:$AU$31))/14</f>
        <v>0.914285714285714</v>
      </c>
      <c r="AH74" s="2" t="n">
        <f aca="false">1-SUMPRODUCT(ABS(Tekstboek!$AH$38:$AU$38-Gebruikt!$AH$32:$AU$32))/14</f>
        <v>0.842857142857143</v>
      </c>
      <c r="AI74" s="2" t="n">
        <f aca="false">1-SUMPRODUCT(ABS(Tekstboek!$AH$38:$AU$38-Gebruikt!$AH$33:$AU$33))/14</f>
        <v>0.507142857142857</v>
      </c>
      <c r="AJ74" s="2" t="n">
        <f aca="false">1-SUMPRODUCT(ABS(Tekstboek!$AH$38:$AU$38-Gebruikt!$AH$34:$AU$34))/14</f>
        <v>0.614285714285714</v>
      </c>
      <c r="AK74" s="2" t="n">
        <f aca="false">1-SUMPRODUCT(ABS(Tekstboek!$AH$38:$AU$38-Gebruikt!$AH$35:$AU$35))/14</f>
        <v>0.65</v>
      </c>
      <c r="AL74" s="2" t="n">
        <f aca="false">1-SUMPRODUCT(ABS(Tekstboek!$AH$38:$AU$38-Gebruikt!$AH$36:$AU$36))/14</f>
        <v>0.914285714285714</v>
      </c>
      <c r="AM74" s="2" t="n">
        <f aca="false">1-SUMPRODUCT(ABS(Tekstboek!$AH$38:$AU$38-Gebruikt!$AH$37:$AU$37))/14</f>
        <v>0.771428571428571</v>
      </c>
      <c r="AN74" s="2" t="n">
        <f aca="false">1-SUMPRODUCT(ABS(Tekstboek!$AH$38:$AU$38-Gebruikt!$AH$38:$AU$38))/14</f>
        <v>0.507142857142857</v>
      </c>
      <c r="AO74" s="2" t="n">
        <f aca="false">1-SUMPRODUCT(ABS(Tekstboek!$AH$38:$AU$38-Gebruikt!$AH$39:$AU$39))/14</f>
        <v>0.757142857142857</v>
      </c>
      <c r="AP74" s="2" t="n">
        <f aca="false">1-SUMPRODUCT(ABS(Tekstboek!$AH$38:$AU$38-Gebruikt!$AH$40:$AU$40))/14</f>
        <v>0.585714285714286</v>
      </c>
      <c r="AQ74" s="2" t="n">
        <f aca="false">1-SUMPRODUCT(ABS(Tekstboek!$AH$38:$AU$38-Gebruikt!$AH$41:$AU$41))/14</f>
        <v>0.492857142857143</v>
      </c>
      <c r="AR74" s="2" t="n">
        <f aca="false">1-SUMPRODUCT(ABS(Tekstboek!$AH$38:$AU$38-Gebruikt!$AH$42:$AU$42))/14</f>
        <v>0.585714285714286</v>
      </c>
      <c r="AS74" s="2" t="n">
        <f aca="false">1-SUMPRODUCT(ABS(Tekstboek!$AH$38:$AU$38-Gebruikt!$AH$43:$AU$43))/14</f>
        <v>0.507142857142857</v>
      </c>
      <c r="AT74" s="2" t="n">
        <f aca="false">1-SUMPRODUCT(ABS(Tekstboek!$AH$38:$AU$38-Gebruikt!$AH$44:$AU$44))/14</f>
        <v>0.65</v>
      </c>
      <c r="AU74" s="2" t="n">
        <f aca="false">1-SUMPRODUCT(ABS(Tekstboek!$AH$38:$AU$38-Gebruikt!$AH$45:$AU$45))/14</f>
        <v>0.507142857142857</v>
      </c>
      <c r="AV74" s="2" t="n">
        <f aca="false">1-SUMPRODUCT(ABS(Tekstboek!$AH$38:$AU$38-Gebruikt!$AH$46:$AU$46))/14</f>
        <v>0.778571428571429</v>
      </c>
      <c r="AW74" s="2" t="n">
        <f aca="false">1-SUMPRODUCT(ABS(Tekstboek!$AH$38:$AU$38-Gebruikt!$AH$47:$AU$47))/14</f>
        <v>0.585714285714286</v>
      </c>
      <c r="AX74" s="2" t="n">
        <f aca="false">1-SUMPRODUCT(ABS(Tekstboek!$AH$38:$AU$38-Gebruikt!$AH$48:$AU$48))/14</f>
        <v>0.507142857142857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 collapsed="false" customWidth="true" hidden="false" outlineLevel="0" max="2" min="2" style="0" width="24"/>
    <col collapsed="false" customWidth="true" hidden="false" outlineLevel="0" max="3" min="3" style="0" width="60"/>
  </cols>
  <sheetData>
    <row r="1" customFormat="false" ht="15" hidden="false" customHeight="false" outlineLevel="0" collapsed="false">
      <c r="A1" s="1" t="s">
        <v>671</v>
      </c>
      <c r="B1" s="3"/>
      <c r="C1" s="3"/>
    </row>
    <row r="2" customFormat="false" ht="15" hidden="false" customHeight="false" outlineLevel="0" collapsed="false">
      <c r="A2" s="3"/>
      <c r="B2" s="3"/>
      <c r="C2" s="3"/>
    </row>
    <row r="3" customFormat="false" ht="15" hidden="false" customHeight="false" outlineLevel="0" collapsed="false">
      <c r="A3" s="4" t="s">
        <v>672</v>
      </c>
      <c r="B3" s="4" t="s">
        <v>673</v>
      </c>
      <c r="C3" s="4" t="s">
        <v>674</v>
      </c>
    </row>
    <row r="4" customFormat="false" ht="15" hidden="false" customHeight="false" outlineLevel="0" collapsed="false">
      <c r="A4" s="2" t="s">
        <v>675</v>
      </c>
      <c r="B4" s="9" t="n">
        <v>256</v>
      </c>
      <c r="C4" s="2" t="s">
        <v>676</v>
      </c>
    </row>
    <row r="5" customFormat="false" ht="15" hidden="false" customHeight="false" outlineLevel="0" collapsed="false">
      <c r="A5" s="2" t="s">
        <v>677</v>
      </c>
      <c r="B5" s="9" t="n">
        <v>535</v>
      </c>
      <c r="C5" s="2" t="s">
        <v>678</v>
      </c>
    </row>
    <row r="6" customFormat="false" ht="15" hidden="false" customHeight="false" outlineLevel="0" collapsed="false">
      <c r="A6" s="2" t="s">
        <v>679</v>
      </c>
      <c r="B6" s="9" t="n">
        <v>591</v>
      </c>
      <c r="C6" s="2" t="s">
        <v>680</v>
      </c>
    </row>
    <row r="7" customFormat="false" ht="15" hidden="false" customHeight="false" outlineLevel="0" collapsed="false">
      <c r="A7" s="2" t="s">
        <v>681</v>
      </c>
      <c r="B7" s="9" t="n">
        <v>72315</v>
      </c>
      <c r="C7" s="2" t="s">
        <v>682</v>
      </c>
    </row>
    <row r="8" customFormat="false" ht="15" hidden="false" customHeight="false" outlineLevel="0" collapsed="false">
      <c r="A8" s="2" t="s">
        <v>683</v>
      </c>
      <c r="B8" s="9" t="n">
        <v>4775</v>
      </c>
      <c r="C8" s="2" t="s">
        <v>684</v>
      </c>
    </row>
    <row r="9" customFormat="false" ht="15" hidden="false" customHeight="false" outlineLevel="0" collapsed="false">
      <c r="A9" s="2" t="s">
        <v>685</v>
      </c>
      <c r="B9" s="9" t="n">
        <v>72651</v>
      </c>
      <c r="C9" s="2" t="s">
        <v>686</v>
      </c>
    </row>
    <row r="10" customFormat="false" ht="15" hidden="false" customHeight="false" outlineLevel="0" collapsed="false">
      <c r="A10" s="2" t="s">
        <v>687</v>
      </c>
      <c r="B10" s="9" t="n">
        <v>6</v>
      </c>
      <c r="C10" s="2" t="s">
        <v>686</v>
      </c>
    </row>
    <row r="11" customFormat="false" ht="15" hidden="false" customHeight="false" outlineLevel="0" collapsed="false">
      <c r="A11" s="2" t="s">
        <v>688</v>
      </c>
      <c r="B11" s="9" t="n">
        <v>16</v>
      </c>
      <c r="C11" s="2" t="s">
        <v>689</v>
      </c>
    </row>
    <row r="12" customFormat="false" ht="15" hidden="false" customHeight="false" outlineLevel="0" collapsed="false">
      <c r="A12" s="2" t="s">
        <v>690</v>
      </c>
      <c r="B12" s="9" t="n">
        <v>40</v>
      </c>
      <c r="C12" s="2" t="s">
        <v>691</v>
      </c>
    </row>
    <row r="13" customFormat="false" ht="15" hidden="false" customHeight="false" outlineLevel="0" collapsed="false">
      <c r="A13" s="2" t="s">
        <v>692</v>
      </c>
      <c r="B13" s="9" t="n">
        <v>42</v>
      </c>
      <c r="C13" s="2" t="s">
        <v>693</v>
      </c>
    </row>
    <row r="14" customFormat="false" ht="15" hidden="false" customHeight="false" outlineLevel="0" collapsed="false">
      <c r="A14" s="2" t="s">
        <v>694</v>
      </c>
      <c r="B14" s="9" t="n">
        <v>1.58823529411765</v>
      </c>
      <c r="C14" s="2" t="s">
        <v>695</v>
      </c>
    </row>
    <row r="15" customFormat="false" ht="15" hidden="false" customHeight="false" outlineLevel="0" collapsed="false">
      <c r="A15" s="2" t="s">
        <v>696</v>
      </c>
      <c r="B15" s="9" t="n">
        <v>4</v>
      </c>
      <c r="C15" s="2" t="s">
        <v>697</v>
      </c>
    </row>
    <row r="16" customFormat="false" ht="15" hidden="false" customHeight="false" outlineLevel="0" collapsed="false">
      <c r="A16" s="3"/>
      <c r="B16" s="3"/>
      <c r="C16" s="3"/>
    </row>
    <row r="17" customFormat="false" ht="15" hidden="false" customHeight="false" outlineLevel="0" collapsed="false">
      <c r="A17" s="10" t="s">
        <v>698</v>
      </c>
      <c r="B17" s="10" t="s">
        <v>699</v>
      </c>
      <c r="C17" s="10" t="s">
        <v>700</v>
      </c>
    </row>
    <row r="18" customFormat="false" ht="15" hidden="false" customHeight="false" outlineLevel="0" collapsed="false">
      <c r="A18" s="2" t="s">
        <v>701</v>
      </c>
      <c r="B18" s="11" t="n">
        <f aca="false">$B$4-1+2*ROUNDUP($B$4/$B$11,0)</f>
        <v>287</v>
      </c>
      <c r="C18" s="11" t="n">
        <f aca="false">2*$B$4-1</f>
        <v>511</v>
      </c>
    </row>
    <row r="19" customFormat="false" ht="15" hidden="false" customHeight="false" outlineLevel="0" collapsed="false">
      <c r="A19" s="2" t="s">
        <v>702</v>
      </c>
      <c r="B19" s="11" t="n">
        <f aca="false">2*$B$7-$B$5+2*$B$8+$B$5*$B$13</f>
        <v>176115</v>
      </c>
      <c r="C19" s="11" t="n">
        <f aca="false">3*$B$9-$B$6+$B$6*$B$13</f>
        <v>242184</v>
      </c>
    </row>
    <row r="20" customFormat="false" ht="15" hidden="false" customHeight="false" outlineLevel="0" collapsed="false">
      <c r="A20" s="2" t="s">
        <v>703</v>
      </c>
      <c r="B20" s="11" t="n">
        <f aca="false">$B$4</f>
        <v>256</v>
      </c>
      <c r="C20" s="11" t="n">
        <f aca="false">$B$4</f>
        <v>256</v>
      </c>
    </row>
    <row r="21" customFormat="false" ht="15" hidden="false" customHeight="false" outlineLevel="0" collapsed="false">
      <c r="A21" s="2" t="s">
        <v>704</v>
      </c>
      <c r="B21" s="11" t="n">
        <f aca="false">B18</f>
        <v>287</v>
      </c>
      <c r="C21" s="11" t="n">
        <f aca="false">C18</f>
        <v>511</v>
      </c>
    </row>
    <row r="22" customFormat="false" ht="15" hidden="false" customHeight="false" outlineLevel="0" collapsed="false">
      <c r="A22" s="2" t="s">
        <v>705</v>
      </c>
      <c r="B22" s="11" t="n">
        <f aca="false">4*$B$12+$B$4</f>
        <v>416</v>
      </c>
      <c r="C22" s="11" t="n">
        <f aca="false">5*$B$4</f>
        <v>1280</v>
      </c>
    </row>
    <row r="23" customFormat="false" ht="15" hidden="false" customHeight="false" outlineLevel="0" collapsed="false">
      <c r="A23" s="2" t="s">
        <v>706</v>
      </c>
      <c r="B23" s="11" t="n">
        <f aca="false">$B$4+$B$12</f>
        <v>296</v>
      </c>
      <c r="C23" s="11" t="n">
        <f aca="false">2*$B$4</f>
        <v>512</v>
      </c>
    </row>
    <row r="24" customFormat="false" ht="15" hidden="false" customHeight="false" outlineLevel="0" collapsed="false">
      <c r="A24" s="2" t="s">
        <v>707</v>
      </c>
      <c r="B24" s="11" t="n">
        <f aca="false">$B$5*(B20+B21+B22+B23)</f>
        <v>671425</v>
      </c>
      <c r="C24" s="11" t="n">
        <f aca="false">$B$6*(C20+C21+C22+C23)</f>
        <v>1512369</v>
      </c>
    </row>
    <row r="25" customFormat="false" ht="15" hidden="false" customHeight="false" outlineLevel="0" collapsed="false">
      <c r="A25" s="2" t="s">
        <v>708</v>
      </c>
      <c r="B25" s="11" t="n">
        <f aca="false">2*B19+B24</f>
        <v>1023655</v>
      </c>
      <c r="C25" s="11" t="n">
        <f aca="false">2*C19+C24</f>
        <v>1996737</v>
      </c>
    </row>
    <row r="26" customFormat="false" ht="15" hidden="false" customHeight="false" outlineLevel="0" collapsed="false">
      <c r="A26" s="2" t="s">
        <v>709</v>
      </c>
      <c r="B26" s="11" t="n">
        <f aca="false">$B$4^2/2+18*$B$4+B18</f>
        <v>37663</v>
      </c>
      <c r="C26" s="11" t="n">
        <f aca="false">$B$4^2/2+$B$4^2+C18</f>
        <v>98815</v>
      </c>
    </row>
    <row r="27" customFormat="false" ht="15" hidden="false" customHeight="false" outlineLevel="0" collapsed="false">
      <c r="A27" s="2" t="s">
        <v>710</v>
      </c>
      <c r="B27" s="11" t="n">
        <f aca="false">4*$B$4</f>
        <v>1024</v>
      </c>
      <c r="C27" s="11" t="n">
        <f aca="false">4*$B$4</f>
        <v>1024</v>
      </c>
    </row>
    <row r="28" customFormat="false" ht="15" hidden="false" customHeight="false" outlineLevel="0" collapsed="false">
      <c r="A28" s="1" t="s">
        <v>711</v>
      </c>
      <c r="B28" s="11" t="n">
        <f aca="false">2*B25+B26+B27</f>
        <v>2085997</v>
      </c>
      <c r="C28" s="11" t="n">
        <f aca="false">2*C25+C26+C27</f>
        <v>4093313</v>
      </c>
    </row>
    <row r="29" customFormat="false" ht="15" hidden="false" customHeight="false" outlineLevel="0" collapsed="false">
      <c r="A29" s="2" t="s">
        <v>712</v>
      </c>
      <c r="B29" s="11" t="n">
        <f aca="false">ROUNDUP($B$5*$B$14,0)</f>
        <v>850</v>
      </c>
      <c r="C29" s="11" t="n">
        <f aca="false">ROUNDUP($B$6*$B$14,0)</f>
        <v>939</v>
      </c>
    </row>
    <row r="30" customFormat="false" ht="15" hidden="false" customHeight="false" outlineLevel="0" collapsed="false">
      <c r="A30" s="2" t="s">
        <v>713</v>
      </c>
      <c r="B30" s="11" t="n">
        <f aca="false">2*$B$4</f>
        <v>512</v>
      </c>
      <c r="C30" s="11" t="n">
        <f aca="false">2*$B$4</f>
        <v>512</v>
      </c>
    </row>
    <row r="31" customFormat="false" ht="15" hidden="false" customHeight="false" outlineLevel="0" collapsed="false">
      <c r="A31" s="2" t="s">
        <v>714</v>
      </c>
      <c r="B31" s="11" t="n">
        <f aca="false">2*$B$10+11+8</f>
        <v>31</v>
      </c>
      <c r="C31" s="11" t="n">
        <f aca="false">2*$B$10+11+8</f>
        <v>31</v>
      </c>
    </row>
    <row r="32" customFormat="false" ht="15" hidden="false" customHeight="false" outlineLevel="0" collapsed="false">
      <c r="A32" s="2" t="s">
        <v>715</v>
      </c>
      <c r="B32" s="11" t="n">
        <f aca="false">$B$11+1</f>
        <v>17</v>
      </c>
      <c r="C32" s="11" t="n">
        <f aca="false">1</f>
        <v>1</v>
      </c>
    </row>
    <row r="33" customFormat="false" ht="15" hidden="false" customHeight="false" outlineLevel="0" collapsed="false">
      <c r="A33" s="2" t="s">
        <v>716</v>
      </c>
      <c r="B33" s="11" t="n">
        <f aca="false">$B$15</f>
        <v>4</v>
      </c>
      <c r="C33" s="11" t="n">
        <f aca="false">4</f>
        <v>4</v>
      </c>
    </row>
    <row r="34" customFormat="false" ht="15" hidden="false" customHeight="false" outlineLevel="0" collapsed="false">
      <c r="A34" s="1" t="s">
        <v>717</v>
      </c>
      <c r="B34" s="11" t="n">
        <f aca="false">SUM(B29:B33)</f>
        <v>1414</v>
      </c>
      <c r="C34" s="11" t="n">
        <f aca="false">SUM(C29:C33)</f>
        <v>1487</v>
      </c>
    </row>
    <row r="35" customFormat="false" ht="15" hidden="false" customHeight="false" outlineLevel="0" collapsed="false">
      <c r="A35" s="1" t="s">
        <v>718</v>
      </c>
      <c r="B35" s="11" t="n">
        <f aca="false">B28*B34</f>
        <v>2949599758</v>
      </c>
      <c r="C35" s="11" t="n">
        <f aca="false">C28*C34</f>
        <v>6086756431</v>
      </c>
    </row>
    <row r="36" customFormat="false" ht="15" hidden="false" customHeight="false" outlineLevel="0" collapsed="false">
      <c r="A36" s="3"/>
      <c r="B36" s="3"/>
      <c r="C36" s="3"/>
    </row>
    <row r="37" customFormat="false" ht="15" hidden="false" customHeight="false" outlineLevel="0" collapsed="false">
      <c r="A37" s="2" t="s">
        <v>719</v>
      </c>
      <c r="B37" s="3"/>
      <c r="C37"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 collapsed="false" customWidth="true" hidden="false" outlineLevel="0" max="2" min="2" style="0" width="14"/>
    <col collapsed="false" customWidth="true" hidden="false" outlineLevel="0" max="3" min="3" style="0" width="9"/>
    <col collapsed="false" customWidth="true" hidden="false" outlineLevel="0" max="4" min="4" style="0" width="18"/>
    <col collapsed="false" customWidth="true" hidden="false" outlineLevel="0" max="5" min="5" style="0" width="10"/>
    <col collapsed="false" customWidth="true" hidden="false" outlineLevel="0" max="6" min="6" style="0" width="16"/>
    <col collapsed="false" customWidth="true" hidden="false" outlineLevel="0" max="7" min="7" style="0" width="26"/>
    <col collapsed="false" customWidth="true" hidden="false" outlineLevel="0" max="8" min="8" style="0" width="48"/>
  </cols>
  <sheetData>
    <row r="1" customFormat="false" ht="15" hidden="false" customHeight="false" outlineLevel="0" collapsed="false">
      <c r="A1" s="1" t="s">
        <v>720</v>
      </c>
      <c r="B1" s="3"/>
      <c r="C1" s="3"/>
      <c r="D1" s="3"/>
      <c r="E1" s="3"/>
      <c r="F1" s="3"/>
      <c r="G1" s="3"/>
      <c r="H1" s="3"/>
    </row>
    <row r="2" customFormat="false" ht="15" hidden="false" customHeight="false" outlineLevel="0" collapsed="false">
      <c r="A2" s="3"/>
      <c r="B2" s="3"/>
      <c r="C2" s="3"/>
      <c r="D2" s="3"/>
      <c r="E2" s="3"/>
      <c r="F2" s="3"/>
      <c r="G2" s="3"/>
      <c r="H2" s="3"/>
    </row>
    <row r="3" customFormat="false" ht="26.85" hidden="false" customHeight="false" outlineLevel="0" collapsed="false">
      <c r="A3" s="4" t="s">
        <v>721</v>
      </c>
      <c r="B3" s="4" t="s">
        <v>722</v>
      </c>
      <c r="C3" s="4" t="s">
        <v>723</v>
      </c>
      <c r="D3" s="4" t="s">
        <v>724</v>
      </c>
      <c r="E3" s="4" t="s">
        <v>725</v>
      </c>
      <c r="F3" s="4" t="s">
        <v>726</v>
      </c>
      <c r="G3" s="4" t="s">
        <v>727</v>
      </c>
      <c r="H3" s="4" t="s">
        <v>25</v>
      </c>
    </row>
    <row r="4" customFormat="false" ht="15" hidden="false" customHeight="false" outlineLevel="0" collapsed="false">
      <c r="A4" s="2" t="s">
        <v>728</v>
      </c>
      <c r="B4" s="12" t="n">
        <v>741645</v>
      </c>
      <c r="C4" s="9" t="n">
        <v>1234</v>
      </c>
      <c r="D4" s="11" t="n">
        <f aca="false">B4*C4</f>
        <v>915189930</v>
      </c>
      <c r="E4" s="13" t="n">
        <f aca="false">D4/$D$4</f>
        <v>1</v>
      </c>
      <c r="F4" s="14" t="n">
        <f aca="false">D4/$D$6</f>
        <v>0.305827879699248</v>
      </c>
      <c r="G4" s="2" t="s">
        <v>729</v>
      </c>
      <c r="H4" s="2" t="s">
        <v>730</v>
      </c>
    </row>
    <row r="5" customFormat="false" ht="15" hidden="false" customHeight="false" outlineLevel="0" collapsed="false">
      <c r="A5" s="2" t="s">
        <v>731</v>
      </c>
      <c r="B5" s="12" t="n">
        <v>784645</v>
      </c>
      <c r="C5" s="9" t="n">
        <v>1243</v>
      </c>
      <c r="D5" s="11" t="n">
        <f aca="false">B5*C5</f>
        <v>975313735</v>
      </c>
      <c r="E5" s="13" t="n">
        <f aca="false">D5/$D$4</f>
        <v>1.06569543985258</v>
      </c>
      <c r="F5" s="14" t="n">
        <f aca="false">D5/$D$6</f>
        <v>0.325919376775272</v>
      </c>
      <c r="G5" s="2" t="s">
        <v>732</v>
      </c>
      <c r="H5" s="2" t="s">
        <v>733</v>
      </c>
    </row>
    <row r="6" customFormat="false" ht="15" hidden="false" customHeight="false" outlineLevel="0" collapsed="false">
      <c r="A6" s="2" t="s">
        <v>734</v>
      </c>
      <c r="B6" s="12" t="n">
        <v>2100000</v>
      </c>
      <c r="C6" s="9" t="n">
        <v>1425</v>
      </c>
      <c r="D6" s="11" t="n">
        <f aca="false">B6*C6</f>
        <v>2992500000</v>
      </c>
      <c r="E6" s="13" t="n">
        <f aca="false">D6/$D$4</f>
        <v>3.26981307584973</v>
      </c>
      <c r="F6" s="14" t="n">
        <f aca="false">D6/$D$6</f>
        <v>1</v>
      </c>
      <c r="G6" s="2" t="s">
        <v>735</v>
      </c>
      <c r="H6" s="2" t="s">
        <v>736</v>
      </c>
    </row>
    <row r="7" customFormat="false" ht="15" hidden="false" customHeight="false" outlineLevel="0" collapsed="false">
      <c r="A7" s="2" t="s">
        <v>737</v>
      </c>
      <c r="B7" s="12" t="n">
        <v>2700000</v>
      </c>
      <c r="C7" s="9" t="n">
        <v>1175</v>
      </c>
      <c r="D7" s="11" t="n">
        <f aca="false">B7*C7</f>
        <v>3172500000</v>
      </c>
      <c r="E7" s="13" t="n">
        <f aca="false">D7/$D$4</f>
        <v>3.46649356161513</v>
      </c>
      <c r="F7" s="14" t="n">
        <f aca="false">D7/$D$6</f>
        <v>1.06015037593985</v>
      </c>
      <c r="G7" s="2" t="s">
        <v>735</v>
      </c>
      <c r="H7" s="2" t="s">
        <v>736</v>
      </c>
    </row>
    <row r="8" customFormat="false" ht="15" hidden="false" customHeight="false" outlineLevel="0" collapsed="false">
      <c r="A8" s="2" t="s">
        <v>738</v>
      </c>
      <c r="B8" s="12" t="n">
        <v>1356000</v>
      </c>
      <c r="C8" s="9" t="n">
        <v>1419</v>
      </c>
      <c r="D8" s="11" t="n">
        <f aca="false">B8*C8</f>
        <v>1924164000</v>
      </c>
      <c r="E8" s="13" t="n">
        <f aca="false">D8/$D$4</f>
        <v>2.10247505673495</v>
      </c>
      <c r="F8" s="14" t="n">
        <f aca="false">D8/$D$6</f>
        <v>0.642995488721805</v>
      </c>
      <c r="G8" s="2" t="s">
        <v>739</v>
      </c>
      <c r="H8" s="2" t="s">
        <v>740</v>
      </c>
    </row>
    <row r="9" customFormat="false" ht="15" hidden="false" customHeight="false" outlineLevel="0" collapsed="false">
      <c r="A9" s="2" t="s">
        <v>741</v>
      </c>
      <c r="B9" s="12" t="n">
        <v>2218127</v>
      </c>
      <c r="C9" s="9" t="n">
        <v>893</v>
      </c>
      <c r="D9" s="11" t="n">
        <f aca="false">B9*C9</f>
        <v>1980787411</v>
      </c>
      <c r="E9" s="13" t="n">
        <f aca="false">D9/$D$4</f>
        <v>2.16434572329702</v>
      </c>
      <c r="F9" s="14" t="n">
        <f aca="false">D9/$D$6</f>
        <v>0.661917263492064</v>
      </c>
      <c r="G9" s="2" t="s">
        <v>742</v>
      </c>
      <c r="H9" s="2" t="s">
        <v>743</v>
      </c>
    </row>
    <row r="10" customFormat="false" ht="15" hidden="false" customHeight="false" outlineLevel="0" collapsed="false">
      <c r="A10" s="2" t="s">
        <v>744</v>
      </c>
      <c r="B10" s="12" t="n">
        <v>2390000</v>
      </c>
      <c r="C10" s="9" t="n">
        <v>1192</v>
      </c>
      <c r="D10" s="11" t="n">
        <f aca="false">B10*C10</f>
        <v>2848880000</v>
      </c>
      <c r="E10" s="13" t="n">
        <f aca="false">D10/$D$4</f>
        <v>3.11288390159625</v>
      </c>
      <c r="F10" s="14" t="n">
        <f aca="false">D10/$D$6</f>
        <v>0.952006683375104</v>
      </c>
      <c r="G10" s="2" t="s">
        <v>745</v>
      </c>
      <c r="H10" s="2" t="s">
        <v>746</v>
      </c>
    </row>
    <row r="11" customFormat="false" ht="15" hidden="false" customHeight="false" outlineLevel="0" collapsed="false">
      <c r="A11" s="2" t="s">
        <v>747</v>
      </c>
      <c r="B11" s="12" t="n">
        <v>3942753</v>
      </c>
      <c r="C11" s="9" t="n">
        <v>2715</v>
      </c>
      <c r="D11" s="11" t="n">
        <f aca="false">B11*C11</f>
        <v>10704574395</v>
      </c>
      <c r="E11" s="13" t="n">
        <f aca="false">D11/$D$4</f>
        <v>11.6965605106691</v>
      </c>
      <c r="F11" s="14" t="n">
        <f aca="false">D11/$D$6</f>
        <v>3.57713430075188</v>
      </c>
      <c r="G11" s="2" t="s">
        <v>73</v>
      </c>
      <c r="H11" s="2" t="s">
        <v>736</v>
      </c>
    </row>
    <row r="12" customFormat="false" ht="15" hidden="false" customHeight="false" outlineLevel="0" collapsed="false">
      <c r="A12" s="1" t="s">
        <v>748</v>
      </c>
      <c r="B12" s="15" t="n">
        <f aca="false">Ontwerp!B28</f>
        <v>2085997</v>
      </c>
      <c r="C12" s="15" t="n">
        <f aca="false">Ontwerp!B34</f>
        <v>1414</v>
      </c>
      <c r="D12" s="11" t="n">
        <f aca="false">B12*C12</f>
        <v>2949599758</v>
      </c>
      <c r="E12" s="13" t="n">
        <f aca="false">D12/$D$4</f>
        <v>3.22293729564966</v>
      </c>
      <c r="F12" s="14" t="n">
        <f aca="false">D12/$D$6</f>
        <v>0.985664079532164</v>
      </c>
      <c r="G12" s="2" t="s">
        <v>749</v>
      </c>
      <c r="H12" s="2" t="s">
        <v>750</v>
      </c>
    </row>
    <row r="13" customFormat="false" ht="15" hidden="false" customHeight="false" outlineLevel="0" collapsed="false">
      <c r="A13" s="1" t="s">
        <v>751</v>
      </c>
      <c r="B13" s="15" t="n">
        <f aca="false">Ontwerp!C28</f>
        <v>4093313</v>
      </c>
      <c r="C13" s="15" t="n">
        <f aca="false">Ontwerp!C34</f>
        <v>1487</v>
      </c>
      <c r="D13" s="11" t="n">
        <f aca="false">B13*C13</f>
        <v>6086756431</v>
      </c>
      <c r="E13" s="13" t="n">
        <f aca="false">D13/$D$4</f>
        <v>6.65081228658187</v>
      </c>
      <c r="F13" s="14" t="n">
        <f aca="false">D13/$D$6</f>
        <v>2.03400381988304</v>
      </c>
      <c r="G13" s="2" t="s">
        <v>752</v>
      </c>
      <c r="H13" s="2" t="s">
        <v>750</v>
      </c>
    </row>
    <row r="14" customFormat="false" ht="15" hidden="false" customHeight="false" outlineLevel="0" collapsed="false">
      <c r="A14" s="3"/>
      <c r="B14" s="3"/>
      <c r="C14" s="3"/>
      <c r="D14" s="3"/>
      <c r="E14" s="3"/>
      <c r="F14" s="3"/>
      <c r="G14" s="3"/>
      <c r="H14" s="3"/>
    </row>
    <row r="15" customFormat="false" ht="15" hidden="false" customHeight="false" outlineLevel="0" collapsed="false">
      <c r="A15" s="1" t="s">
        <v>753</v>
      </c>
      <c r="B15" s="2" t="str">
        <f aca="false">IF(D12&lt;D6,"ja, met "&amp;ROUND((1-D12/D6)*100,1)&amp;" procent","nee")</f>
        <v>ja, met 1,4 procent</v>
      </c>
      <c r="C15" s="3"/>
      <c r="D15" s="3"/>
      <c r="E15" s="3"/>
      <c r="F15" s="3"/>
      <c r="G15" s="3"/>
      <c r="H15" s="3"/>
    </row>
    <row r="16" customFormat="false" ht="15" hidden="false" customHeight="false" outlineLevel="0" collapsed="false">
      <c r="A16" s="1" t="s">
        <v>754</v>
      </c>
      <c r="B16" s="2" t="str">
        <f aca="false">IF(D13&lt;D6,"ja","nee, "&amp;ROUND(D13/D6,2)&amp;"x zo hoog")</f>
        <v>nee, 2,03x zo hoog</v>
      </c>
      <c r="C16" s="3"/>
      <c r="D16" s="3"/>
      <c r="E16" s="3"/>
      <c r="F16" s="3"/>
      <c r="G16" s="3"/>
      <c r="H16"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0" min="1" style="0" width="16"/>
    <col collapsed="false" customWidth="true" hidden="false" outlineLevel="0" max="11" min="11" style="0" width="70"/>
  </cols>
  <sheetData>
    <row r="1" customFormat="false" ht="15" hidden="false" customHeight="false" outlineLevel="0" collapsed="false">
      <c r="A1" s="1" t="s">
        <v>755</v>
      </c>
      <c r="B1" s="3"/>
      <c r="C1" s="3"/>
      <c r="D1" s="3"/>
      <c r="E1" s="3"/>
      <c r="F1" s="3"/>
      <c r="G1" s="3"/>
      <c r="H1" s="3"/>
      <c r="I1" s="3"/>
      <c r="J1" s="3"/>
      <c r="K1" s="3"/>
    </row>
    <row r="2" customFormat="false" ht="15" hidden="false" customHeight="false" outlineLevel="0" collapsed="false">
      <c r="A2" s="3"/>
      <c r="B2" s="3"/>
      <c r="C2" s="3"/>
      <c r="D2" s="3"/>
      <c r="E2" s="3"/>
      <c r="F2" s="3"/>
      <c r="G2" s="3"/>
      <c r="H2" s="3"/>
      <c r="I2" s="3"/>
      <c r="J2" s="3"/>
      <c r="K2" s="3"/>
    </row>
    <row r="3" customFormat="false" ht="39.55" hidden="false" customHeight="false" outlineLevel="0" collapsed="false">
      <c r="A3" s="4" t="s">
        <v>756</v>
      </c>
      <c r="B3" s="4" t="s">
        <v>757</v>
      </c>
      <c r="C3" s="4" t="s">
        <v>758</v>
      </c>
      <c r="D3" s="4" t="s">
        <v>759</v>
      </c>
      <c r="E3" s="4" t="s">
        <v>760</v>
      </c>
      <c r="F3" s="4" t="s">
        <v>761</v>
      </c>
      <c r="G3" s="4" t="s">
        <v>762</v>
      </c>
      <c r="H3" s="4" t="s">
        <v>763</v>
      </c>
      <c r="I3" s="4" t="s">
        <v>764</v>
      </c>
      <c r="J3" s="4" t="s">
        <v>765</v>
      </c>
      <c r="K3" s="4" t="s">
        <v>766</v>
      </c>
    </row>
    <row r="4" customFormat="false" ht="15" hidden="false" customHeight="false" outlineLevel="0" collapsed="false">
      <c r="A4" s="9" t="s">
        <v>767</v>
      </c>
      <c r="B4" s="9" t="s">
        <v>768</v>
      </c>
      <c r="C4" s="9" t="s">
        <v>769</v>
      </c>
      <c r="D4" s="9" t="n">
        <v>10698739917</v>
      </c>
      <c r="E4" s="9" t="n">
        <v>10579872520</v>
      </c>
      <c r="F4" s="9" t="n">
        <v>-1.11</v>
      </c>
      <c r="G4" s="9" t="n">
        <v>-1.1</v>
      </c>
      <c r="H4" s="9" t="n">
        <v>2710</v>
      </c>
      <c r="I4" s="9" t="n">
        <v>3904012</v>
      </c>
      <c r="J4" s="9" t="s">
        <v>770</v>
      </c>
      <c r="K4" s="9" t="s">
        <v>771</v>
      </c>
    </row>
    <row r="5" customFormat="false" ht="15" hidden="false" customHeight="false" outlineLevel="0" collapsed="false">
      <c r="A5" s="9" t="s">
        <v>772</v>
      </c>
      <c r="B5" s="9" t="s">
        <v>773</v>
      </c>
      <c r="C5" s="9" t="s">
        <v>774</v>
      </c>
      <c r="D5" s="9" t="n">
        <v>10572302800</v>
      </c>
      <c r="E5" s="9" t="n">
        <v>10398568352</v>
      </c>
      <c r="F5" s="9" t="n">
        <v>-1.64</v>
      </c>
      <c r="G5" s="9" t="n">
        <v>-1.61</v>
      </c>
      <c r="H5" s="9" t="n">
        <v>2708</v>
      </c>
      <c r="I5" s="9" t="n">
        <v>3839944</v>
      </c>
      <c r="J5" s="9" t="s">
        <v>770</v>
      </c>
      <c r="K5" s="9" t="s">
        <v>775</v>
      </c>
    </row>
    <row r="6" customFormat="false" ht="15" hidden="false" customHeight="false" outlineLevel="0" collapsed="false">
      <c r="A6" s="9" t="s">
        <v>776</v>
      </c>
      <c r="B6" s="9" t="s">
        <v>773</v>
      </c>
      <c r="C6" s="9" t="s">
        <v>774</v>
      </c>
      <c r="D6" s="9" t="n">
        <v>10318536120</v>
      </c>
      <c r="E6" s="9" t="n">
        <v>9604339032</v>
      </c>
      <c r="F6" s="9" t="n">
        <v>-6.92</v>
      </c>
      <c r="G6" s="9" t="n">
        <v>-6.64</v>
      </c>
      <c r="H6" s="9" t="n">
        <v>2708</v>
      </c>
      <c r="I6" s="9" t="n">
        <v>3546654</v>
      </c>
      <c r="J6" s="9" t="s">
        <v>777</v>
      </c>
      <c r="K6" s="9" t="s">
        <v>85</v>
      </c>
    </row>
    <row r="7" customFormat="false" ht="15" hidden="false" customHeight="false" outlineLevel="0" collapsed="false">
      <c r="A7" s="9" t="s">
        <v>778</v>
      </c>
      <c r="B7" s="9" t="s">
        <v>773</v>
      </c>
      <c r="C7" s="9" t="s">
        <v>774</v>
      </c>
      <c r="D7" s="9" t="n">
        <v>9591294596</v>
      </c>
      <c r="E7" s="9" t="n">
        <v>8445450090</v>
      </c>
      <c r="F7" s="9" t="n">
        <v>-11.95</v>
      </c>
      <c r="G7" s="9" t="n">
        <v>-10.65</v>
      </c>
      <c r="H7" s="9" t="n">
        <v>2310</v>
      </c>
      <c r="I7" s="9" t="n">
        <v>3656039</v>
      </c>
      <c r="J7" s="9" t="s">
        <v>777</v>
      </c>
      <c r="K7" s="9" t="s">
        <v>779</v>
      </c>
    </row>
    <row r="8" customFormat="false" ht="15" hidden="false" customHeight="false" outlineLevel="0" collapsed="false">
      <c r="A8" s="9" t="s">
        <v>780</v>
      </c>
      <c r="B8" s="9" t="s">
        <v>773</v>
      </c>
      <c r="C8" s="9" t="s">
        <v>781</v>
      </c>
      <c r="D8" s="9" t="n">
        <v>8367457560</v>
      </c>
      <c r="E8" s="9" t="n">
        <v>7765663290</v>
      </c>
      <c r="F8" s="9" t="n">
        <v>-7.19</v>
      </c>
      <c r="G8" s="9" t="n">
        <v>-5.59</v>
      </c>
      <c r="H8" s="9" t="n">
        <v>2310</v>
      </c>
      <c r="I8" s="9" t="n">
        <v>3361759</v>
      </c>
      <c r="J8" s="9" t="s">
        <v>777</v>
      </c>
      <c r="K8" s="9" t="s">
        <v>782</v>
      </c>
    </row>
    <row r="9" customFormat="false" ht="15" hidden="false" customHeight="false" outlineLevel="0" collapsed="false">
      <c r="A9" s="9" t="s">
        <v>783</v>
      </c>
      <c r="B9" s="9" t="s">
        <v>773</v>
      </c>
      <c r="C9" s="9" t="s">
        <v>781</v>
      </c>
      <c r="D9" s="9" t="n">
        <v>7754110980</v>
      </c>
      <c r="E9" s="9" t="n">
        <v>7077100800</v>
      </c>
      <c r="F9" s="9" t="n">
        <v>-8.73</v>
      </c>
      <c r="G9" s="9" t="n">
        <v>-6.29</v>
      </c>
      <c r="H9" s="9" t="n">
        <v>2310</v>
      </c>
      <c r="I9" s="9" t="n">
        <v>3063680</v>
      </c>
      <c r="J9" s="9" t="s">
        <v>777</v>
      </c>
      <c r="K9" s="9" t="s">
        <v>784</v>
      </c>
    </row>
    <row r="10" customFormat="false" ht="15" hidden="false" customHeight="false" outlineLevel="0" collapsed="false">
      <c r="A10" s="9" t="s">
        <v>785</v>
      </c>
      <c r="B10" s="9" t="s">
        <v>773</v>
      </c>
      <c r="C10" s="9" t="s">
        <v>781</v>
      </c>
      <c r="D10" s="9" t="n">
        <v>7074763080</v>
      </c>
      <c r="E10" s="9" t="n">
        <v>6964659240</v>
      </c>
      <c r="F10" s="9" t="n">
        <v>-1.56</v>
      </c>
      <c r="G10" s="9" t="n">
        <v>-1.02</v>
      </c>
      <c r="H10" s="9" t="n">
        <v>2310</v>
      </c>
      <c r="I10" s="9" t="n">
        <v>3015004</v>
      </c>
      <c r="J10" s="9" t="s">
        <v>777</v>
      </c>
      <c r="K10" s="9" t="s">
        <v>786</v>
      </c>
    </row>
    <row r="11" customFormat="false" ht="15" hidden="false" customHeight="false" outlineLevel="0" collapsed="false">
      <c r="A11" s="9" t="s">
        <v>787</v>
      </c>
      <c r="B11" s="9" t="s">
        <v>773</v>
      </c>
      <c r="C11" s="9" t="s">
        <v>781</v>
      </c>
      <c r="D11" s="9" t="n">
        <v>6961644236</v>
      </c>
      <c r="E11" s="9" t="n">
        <v>6865358936</v>
      </c>
      <c r="F11" s="9" t="n">
        <v>-1.38</v>
      </c>
      <c r="G11" s="9" t="n">
        <v>-0.89</v>
      </c>
      <c r="H11" s="9" t="n">
        <v>2309</v>
      </c>
      <c r="I11" s="9" t="n">
        <v>2973304</v>
      </c>
      <c r="J11" s="9" t="s">
        <v>777</v>
      </c>
      <c r="K11" s="9" t="s">
        <v>788</v>
      </c>
    </row>
    <row r="12" customFormat="false" ht="15" hidden="false" customHeight="false" outlineLevel="0" collapsed="false">
      <c r="A12" s="9" t="s">
        <v>789</v>
      </c>
      <c r="B12" s="9" t="s">
        <v>773</v>
      </c>
      <c r="C12" s="9" t="s">
        <v>781</v>
      </c>
      <c r="D12" s="9" t="n">
        <v>6865358936</v>
      </c>
      <c r="E12" s="9" t="n">
        <v>6764917436</v>
      </c>
      <c r="F12" s="9" t="n">
        <v>-1.46</v>
      </c>
      <c r="G12" s="9" t="n">
        <v>-0.93</v>
      </c>
      <c r="H12" s="9" t="n">
        <v>2309</v>
      </c>
      <c r="I12" s="9" t="n">
        <v>2929804</v>
      </c>
      <c r="J12" s="9" t="s">
        <v>777</v>
      </c>
      <c r="K12" s="9" t="s">
        <v>790</v>
      </c>
    </row>
    <row r="13" customFormat="false" ht="15" hidden="false" customHeight="false" outlineLevel="0" collapsed="false">
      <c r="A13" s="9" t="s">
        <v>791</v>
      </c>
      <c r="B13" s="9" t="s">
        <v>773</v>
      </c>
      <c r="C13" s="9" t="s">
        <v>781</v>
      </c>
      <c r="D13" s="9" t="n">
        <v>6764917436</v>
      </c>
      <c r="E13" s="9" t="n">
        <v>6626924669</v>
      </c>
      <c r="F13" s="9" t="n">
        <v>-2.04</v>
      </c>
      <c r="G13" s="9" t="n">
        <v>-1.28</v>
      </c>
      <c r="H13" s="9" t="n">
        <v>2309</v>
      </c>
      <c r="I13" s="9" t="n">
        <v>2870041</v>
      </c>
      <c r="J13" s="9" t="s">
        <v>777</v>
      </c>
      <c r="K13" s="9" t="s">
        <v>792</v>
      </c>
    </row>
    <row r="14" customFormat="false" ht="15" hidden="false" customHeight="false" outlineLevel="0" collapsed="false">
      <c r="A14" s="9" t="s">
        <v>793</v>
      </c>
      <c r="B14" s="9" t="s">
        <v>773</v>
      </c>
      <c r="C14" s="9" t="s">
        <v>781</v>
      </c>
      <c r="D14" s="9" t="n">
        <v>6453615747</v>
      </c>
      <c r="E14" s="9" t="n">
        <v>6040110791</v>
      </c>
      <c r="F14" s="9" t="n">
        <v>-6.41</v>
      </c>
      <c r="G14" s="9" t="n">
        <v>-3.84</v>
      </c>
      <c r="H14" s="9" t="n">
        <v>2309</v>
      </c>
      <c r="I14" s="9" t="n">
        <v>2615899</v>
      </c>
      <c r="J14" s="9" t="s">
        <v>777</v>
      </c>
      <c r="K14" s="9" t="s">
        <v>794</v>
      </c>
    </row>
    <row r="15" customFormat="false" ht="15" hidden="false" customHeight="false" outlineLevel="0" collapsed="false">
      <c r="A15" s="9" t="s">
        <v>795</v>
      </c>
      <c r="B15" s="9" t="s">
        <v>773</v>
      </c>
      <c r="C15" s="9" t="s">
        <v>781</v>
      </c>
      <c r="D15" s="9" t="n">
        <v>5882154410</v>
      </c>
      <c r="E15" s="9" t="n">
        <v>5686868426</v>
      </c>
      <c r="F15" s="9" t="n">
        <v>-3.32</v>
      </c>
      <c r="G15" s="9" t="n">
        <v>-1.82</v>
      </c>
      <c r="H15" s="9" t="n">
        <v>2309</v>
      </c>
      <c r="I15" s="9" t="n">
        <v>2462914</v>
      </c>
      <c r="J15" s="9" t="s">
        <v>777</v>
      </c>
      <c r="K15" s="9" t="s">
        <v>796</v>
      </c>
    </row>
    <row r="16" customFormat="false" ht="15" hidden="false" customHeight="false" outlineLevel="0" collapsed="false">
      <c r="A16" s="9" t="s">
        <v>797</v>
      </c>
      <c r="B16" s="9" t="s">
        <v>773</v>
      </c>
      <c r="C16" s="9" t="s">
        <v>798</v>
      </c>
      <c r="D16" s="9" t="n">
        <v>5547081566</v>
      </c>
      <c r="E16" s="9" t="n">
        <v>5185018575</v>
      </c>
      <c r="F16" s="9" t="n">
        <v>-6.53</v>
      </c>
      <c r="G16" s="9" t="n">
        <v>-3.37</v>
      </c>
      <c r="H16" s="9" t="n">
        <v>2025</v>
      </c>
      <c r="I16" s="9" t="n">
        <v>2560503</v>
      </c>
      <c r="J16" s="9" t="s">
        <v>777</v>
      </c>
      <c r="K16" s="9" t="s">
        <v>799</v>
      </c>
    </row>
    <row r="17" customFormat="false" ht="15" hidden="false" customHeight="false" outlineLevel="0" collapsed="false">
      <c r="A17" s="9" t="s">
        <v>800</v>
      </c>
      <c r="B17" s="9" t="s">
        <v>801</v>
      </c>
      <c r="C17" s="9" t="s">
        <v>798</v>
      </c>
      <c r="D17" s="9" t="n">
        <v>5120690122</v>
      </c>
      <c r="E17" s="9" t="n">
        <v>4156442508</v>
      </c>
      <c r="F17" s="9" t="n">
        <v>-18.83</v>
      </c>
      <c r="G17" s="9" t="n">
        <v>-8.96</v>
      </c>
      <c r="H17" s="9" t="n">
        <v>1698</v>
      </c>
      <c r="I17" s="9" t="n">
        <v>2447846</v>
      </c>
      <c r="J17" s="9" t="s">
        <v>777</v>
      </c>
      <c r="K17" s="9" t="s">
        <v>802</v>
      </c>
    </row>
    <row r="18" customFormat="false" ht="15" hidden="false" customHeight="false" outlineLevel="0" collapsed="false">
      <c r="A18" s="9" t="s">
        <v>803</v>
      </c>
      <c r="B18" s="9" t="s">
        <v>804</v>
      </c>
      <c r="C18" s="9" t="s">
        <v>798</v>
      </c>
      <c r="D18" s="9" t="n">
        <v>4068676284</v>
      </c>
      <c r="E18" s="9" t="n">
        <v>3775248300</v>
      </c>
      <c r="F18" s="9" t="n">
        <v>-7.21</v>
      </c>
      <c r="G18" s="9" t="n">
        <v>-2.73</v>
      </c>
      <c r="H18" s="9" t="n">
        <v>1698</v>
      </c>
      <c r="I18" s="9" t="n">
        <v>2223350</v>
      </c>
      <c r="J18" s="9" t="s">
        <v>777</v>
      </c>
      <c r="K18" s="9" t="s">
        <v>805</v>
      </c>
    </row>
    <row r="19" customFormat="false" ht="15" hidden="false" customHeight="false" outlineLevel="0" collapsed="false">
      <c r="A19" s="9" t="s">
        <v>806</v>
      </c>
      <c r="B19" s="9" t="s">
        <v>807</v>
      </c>
      <c r="C19" s="9" t="s">
        <v>798</v>
      </c>
      <c r="D19" s="9" t="n">
        <v>3775248300</v>
      </c>
      <c r="E19" s="9" t="n">
        <v>3538424844</v>
      </c>
      <c r="F19" s="9" t="n">
        <v>-6.27</v>
      </c>
      <c r="G19" s="9" t="n">
        <v>-2.2</v>
      </c>
      <c r="H19" s="9" t="n">
        <v>1698</v>
      </c>
      <c r="I19" s="9" t="n">
        <v>2083878</v>
      </c>
      <c r="J19" s="9" t="s">
        <v>777</v>
      </c>
      <c r="K19" s="9" t="s">
        <v>808</v>
      </c>
    </row>
    <row r="20" customFormat="false" ht="15" hidden="false" customHeight="false" outlineLevel="0" collapsed="false">
      <c r="A20" s="9" t="s">
        <v>809</v>
      </c>
      <c r="B20" s="9" t="s">
        <v>804</v>
      </c>
      <c r="C20" s="9" t="s">
        <v>798</v>
      </c>
      <c r="D20" s="9" t="n">
        <v>3538424844</v>
      </c>
      <c r="E20" s="9" t="n">
        <v>3364984332</v>
      </c>
      <c r="F20" s="9" t="n">
        <v>-4.9</v>
      </c>
      <c r="G20" s="9" t="n">
        <v>-1.61</v>
      </c>
      <c r="H20" s="9" t="n">
        <v>1698</v>
      </c>
      <c r="I20" s="9" t="n">
        <v>1981734</v>
      </c>
      <c r="J20" s="9" t="s">
        <v>777</v>
      </c>
      <c r="K20" s="9" t="s">
        <v>810</v>
      </c>
    </row>
    <row r="21" customFormat="false" ht="15" hidden="false" customHeight="false" outlineLevel="0" collapsed="false">
      <c r="A21" s="9" t="s">
        <v>811</v>
      </c>
      <c r="B21" s="9" t="s">
        <v>812</v>
      </c>
      <c r="C21" s="9" t="s">
        <v>798</v>
      </c>
      <c r="D21" s="9" t="n">
        <v>3364984332</v>
      </c>
      <c r="E21" s="9" t="n">
        <v>3315144636</v>
      </c>
      <c r="F21" s="9" t="n">
        <v>-1.48</v>
      </c>
      <c r="G21" s="9" t="n">
        <v>-0.46</v>
      </c>
      <c r="H21" s="9" t="n">
        <v>1698</v>
      </c>
      <c r="I21" s="9" t="n">
        <v>1952382</v>
      </c>
      <c r="J21" s="9" t="s">
        <v>777</v>
      </c>
      <c r="K21" s="9" t="s">
        <v>813</v>
      </c>
    </row>
    <row r="22" customFormat="false" ht="15" hidden="false" customHeight="false" outlineLevel="0" collapsed="false">
      <c r="A22" s="9" t="s">
        <v>814</v>
      </c>
      <c r="B22" s="9" t="s">
        <v>804</v>
      </c>
      <c r="C22" s="9" t="s">
        <v>798</v>
      </c>
      <c r="D22" s="9" t="n">
        <v>3315144636</v>
      </c>
      <c r="E22" s="9" t="n">
        <v>3274494516</v>
      </c>
      <c r="F22" s="9" t="n">
        <v>-1.23</v>
      </c>
      <c r="G22" s="9" t="n">
        <v>-0.38</v>
      </c>
      <c r="H22" s="9" t="n">
        <v>1698</v>
      </c>
      <c r="I22" s="9" t="n">
        <v>1928442</v>
      </c>
      <c r="J22" s="9" t="s">
        <v>777</v>
      </c>
      <c r="K22" s="9" t="s">
        <v>815</v>
      </c>
    </row>
    <row r="23" customFormat="false" ht="15" hidden="false" customHeight="false" outlineLevel="0" collapsed="false">
      <c r="A23" s="9" t="s">
        <v>816</v>
      </c>
      <c r="B23" s="9" t="s">
        <v>817</v>
      </c>
      <c r="C23" s="9" t="s">
        <v>798</v>
      </c>
      <c r="D23" s="9" t="n">
        <v>3270229140</v>
      </c>
      <c r="E23" s="9" t="n">
        <v>3161659020</v>
      </c>
      <c r="F23" s="9" t="n">
        <v>-3.32</v>
      </c>
      <c r="G23" s="9" t="n">
        <v>-1.01</v>
      </c>
      <c r="H23" s="9" t="n">
        <v>1698</v>
      </c>
      <c r="I23" s="9" t="n">
        <v>1861990</v>
      </c>
      <c r="J23" s="9" t="s">
        <v>777</v>
      </c>
      <c r="K23" s="9" t="s">
        <v>818</v>
      </c>
    </row>
    <row r="24" customFormat="false" ht="15" hidden="false" customHeight="false" outlineLevel="0" collapsed="false">
      <c r="A24" s="9" t="s">
        <v>819</v>
      </c>
      <c r="B24" s="9" t="s">
        <v>804</v>
      </c>
      <c r="C24" s="9" t="s">
        <v>798</v>
      </c>
      <c r="D24" s="9" t="n">
        <v>3161659020</v>
      </c>
      <c r="E24" s="9" t="n">
        <v>3121008900</v>
      </c>
      <c r="F24" s="9" t="n">
        <v>-1.29</v>
      </c>
      <c r="G24" s="9" t="n">
        <v>-0.38</v>
      </c>
      <c r="H24" s="9" t="n">
        <v>1698</v>
      </c>
      <c r="I24" s="9" t="n">
        <v>1838050</v>
      </c>
      <c r="J24" s="9" t="s">
        <v>777</v>
      </c>
      <c r="K24" s="9" t="s">
        <v>820</v>
      </c>
    </row>
    <row r="25" customFormat="false" ht="15" hidden="false" customHeight="false" outlineLevel="0" collapsed="false">
      <c r="A25" s="9" t="s">
        <v>821</v>
      </c>
      <c r="B25" s="9" t="s">
        <v>773</v>
      </c>
      <c r="C25" s="9" t="s">
        <v>798</v>
      </c>
      <c r="D25" s="9" t="n">
        <v>3121008900</v>
      </c>
      <c r="E25" s="9" t="n">
        <v>2893538028</v>
      </c>
      <c r="F25" s="9" t="n">
        <v>-7.29</v>
      </c>
      <c r="G25" s="9" t="n">
        <v>-2.11</v>
      </c>
      <c r="H25" s="9" t="n">
        <v>1698</v>
      </c>
      <c r="I25" s="9" t="n">
        <v>1704086</v>
      </c>
      <c r="J25" s="9" t="s">
        <v>777</v>
      </c>
      <c r="K25" s="9" t="s">
        <v>822</v>
      </c>
    </row>
    <row r="26" customFormat="false" ht="15" hidden="false" customHeight="false" outlineLevel="0" collapsed="false">
      <c r="A26" s="9" t="s">
        <v>823</v>
      </c>
      <c r="B26" s="9" t="s">
        <v>804</v>
      </c>
      <c r="C26" s="9" t="s">
        <v>798</v>
      </c>
      <c r="D26" s="9" t="n">
        <v>2822498802</v>
      </c>
      <c r="E26" s="9" t="n">
        <v>2783850084</v>
      </c>
      <c r="F26" s="9" t="n">
        <v>-1.37</v>
      </c>
      <c r="G26" s="9" t="n">
        <v>-0.36</v>
      </c>
      <c r="H26" s="9" t="n">
        <v>1572</v>
      </c>
      <c r="I26" s="9" t="n">
        <v>1770897</v>
      </c>
      <c r="J26" s="9" t="s">
        <v>777</v>
      </c>
      <c r="K26" s="9" t="s">
        <v>824</v>
      </c>
    </row>
    <row r="27" customFormat="false" ht="15" hidden="false" customHeight="false" outlineLevel="0" collapsed="false">
      <c r="A27" s="9" t="s">
        <v>825</v>
      </c>
      <c r="B27" s="9" t="s">
        <v>826</v>
      </c>
      <c r="C27" s="9" t="s">
        <v>798</v>
      </c>
      <c r="D27" s="9" t="n">
        <v>2731939151</v>
      </c>
      <c r="E27" s="9" t="n">
        <v>2647454335</v>
      </c>
      <c r="F27" s="9" t="n">
        <v>-3.09</v>
      </c>
      <c r="G27" s="9" t="n">
        <v>-0.79</v>
      </c>
      <c r="H27" s="9" t="n">
        <v>1567</v>
      </c>
      <c r="I27" s="9" t="n">
        <v>1689505</v>
      </c>
      <c r="J27" s="9" t="s">
        <v>777</v>
      </c>
      <c r="K27" s="9" t="s">
        <v>827</v>
      </c>
    </row>
    <row r="28" customFormat="false" ht="15" hidden="false" customHeight="false" outlineLevel="0" collapsed="false">
      <c r="A28" s="9" t="s">
        <v>828</v>
      </c>
      <c r="B28" s="9" t="s">
        <v>829</v>
      </c>
      <c r="C28" s="9" t="s">
        <v>798</v>
      </c>
      <c r="D28" s="9" t="n">
        <v>2574991500</v>
      </c>
      <c r="E28" s="9" t="n">
        <v>2539526878</v>
      </c>
      <c r="F28" s="9" t="n">
        <v>-1.38</v>
      </c>
      <c r="G28" s="9" t="n">
        <v>-0.33</v>
      </c>
      <c r="H28" s="9" t="n">
        <v>1466</v>
      </c>
      <c r="I28" s="9" t="n">
        <v>1732283</v>
      </c>
      <c r="J28" s="9" t="s">
        <v>777</v>
      </c>
      <c r="K28" s="9" t="s">
        <v>830</v>
      </c>
    </row>
    <row r="29" customFormat="false" ht="15" hidden="false" customHeight="false" outlineLevel="0" collapsed="false">
      <c r="A29" s="9" t="s">
        <v>831</v>
      </c>
      <c r="B29" s="9" t="s">
        <v>832</v>
      </c>
      <c r="C29" s="9" t="s">
        <v>833</v>
      </c>
      <c r="D29" s="9" t="n">
        <v>2379298050</v>
      </c>
      <c r="E29" s="9" t="n">
        <v>2271454694</v>
      </c>
      <c r="F29" s="9" t="n">
        <v>-4.53</v>
      </c>
      <c r="G29" s="9" t="n">
        <v>-1</v>
      </c>
      <c r="H29" s="9" t="n">
        <v>1394</v>
      </c>
      <c r="I29" s="9" t="n">
        <v>1629451</v>
      </c>
      <c r="J29" s="9" t="s">
        <v>777</v>
      </c>
      <c r="K29" s="9" t="s">
        <v>834</v>
      </c>
    </row>
    <row r="30" customFormat="false" ht="15" hidden="false" customHeight="false" outlineLevel="0" collapsed="false">
      <c r="A30" s="9" t="s">
        <v>835</v>
      </c>
      <c r="B30" s="9" t="s">
        <v>836</v>
      </c>
      <c r="C30" s="9" t="s">
        <v>833</v>
      </c>
      <c r="D30" s="9" t="n">
        <v>2257725570</v>
      </c>
      <c r="E30" s="9" t="n">
        <v>2228168610</v>
      </c>
      <c r="F30" s="9" t="n">
        <v>-1.31</v>
      </c>
      <c r="G30" s="9" t="n">
        <v>-0.27</v>
      </c>
      <c r="H30" s="9" t="n">
        <v>1390</v>
      </c>
      <c r="I30" s="9" t="n">
        <v>1602999</v>
      </c>
      <c r="J30" s="9" t="s">
        <v>777</v>
      </c>
      <c r="K30" s="9" t="s">
        <v>837</v>
      </c>
    </row>
    <row r="31" customFormat="false" ht="15" hidden="false" customHeight="false" outlineLevel="0" collapsed="false">
      <c r="A31" s="9" t="s">
        <v>838</v>
      </c>
      <c r="B31" s="9" t="s">
        <v>836</v>
      </c>
      <c r="C31" s="9" t="s">
        <v>833</v>
      </c>
      <c r="D31" s="9" t="n">
        <v>2221196370</v>
      </c>
      <c r="E31" s="9" t="n">
        <v>2195953970</v>
      </c>
      <c r="F31" s="9" t="n">
        <v>-1.14</v>
      </c>
      <c r="G31" s="9" t="n">
        <v>-0.23</v>
      </c>
      <c r="H31" s="9" t="n">
        <v>1390</v>
      </c>
      <c r="I31" s="9" t="n">
        <v>1579823</v>
      </c>
      <c r="J31" s="9" t="s">
        <v>777</v>
      </c>
      <c r="K31" s="9" t="s">
        <v>839</v>
      </c>
    </row>
    <row r="32" customFormat="false" ht="15" hidden="false" customHeight="false" outlineLevel="0" collapsed="false">
      <c r="A32" s="9" t="s">
        <v>840</v>
      </c>
      <c r="B32" s="9" t="s">
        <v>832</v>
      </c>
      <c r="C32" s="9" t="s">
        <v>833</v>
      </c>
      <c r="D32" s="9" t="n">
        <v>2195953970</v>
      </c>
      <c r="E32" s="9" t="n">
        <v>2156477970</v>
      </c>
      <c r="F32" s="9" t="n">
        <v>-1.8</v>
      </c>
      <c r="G32" s="9" t="n">
        <v>-0.37</v>
      </c>
      <c r="H32" s="9" t="n">
        <v>1390</v>
      </c>
      <c r="I32" s="9" t="n">
        <v>1551423</v>
      </c>
      <c r="J32" s="9" t="s">
        <v>777</v>
      </c>
      <c r="K32" s="9" t="s">
        <v>841</v>
      </c>
    </row>
    <row r="33" customFormat="false" ht="15" hidden="false" customHeight="false" outlineLevel="0" collapsed="false">
      <c r="A33" s="9" t="s">
        <v>842</v>
      </c>
      <c r="B33" s="9" t="s">
        <v>843</v>
      </c>
      <c r="C33" s="9" t="s">
        <v>833</v>
      </c>
      <c r="D33" s="9" t="n">
        <v>2089123794</v>
      </c>
      <c r="E33" s="9" t="n">
        <v>2066350440</v>
      </c>
      <c r="F33" s="9" t="n">
        <v>-1.09</v>
      </c>
      <c r="G33" s="9" t="n">
        <v>-0.21</v>
      </c>
      <c r="H33" s="9" t="n">
        <v>1320</v>
      </c>
      <c r="I33" s="9" t="n">
        <v>1565417</v>
      </c>
      <c r="J33" s="9" t="s">
        <v>777</v>
      </c>
      <c r="K33" s="9" t="s">
        <v>844</v>
      </c>
    </row>
    <row r="34" customFormat="false" ht="15" hidden="false" customHeight="false" outlineLevel="0" collapsed="false">
      <c r="A34" s="9" t="s">
        <v>845</v>
      </c>
      <c r="B34" s="9" t="s">
        <v>846</v>
      </c>
      <c r="C34" s="9" t="s">
        <v>847</v>
      </c>
      <c r="D34" s="9" t="n">
        <v>1891349200</v>
      </c>
      <c r="E34" s="9" t="n">
        <v>1825275400</v>
      </c>
      <c r="F34" s="9" t="n">
        <v>-3.49</v>
      </c>
      <c r="G34" s="9" t="n">
        <v>-0.61</v>
      </c>
      <c r="H34" s="9" t="n">
        <v>1300</v>
      </c>
      <c r="I34" s="9" t="n">
        <v>1404058</v>
      </c>
      <c r="J34" s="9" t="s">
        <v>777</v>
      </c>
      <c r="K34" s="9" t="s">
        <v>848</v>
      </c>
    </row>
    <row r="35" customFormat="false" ht="15" hidden="false" customHeight="false" outlineLevel="0" collapsed="false">
      <c r="A35" s="9" t="s">
        <v>849</v>
      </c>
      <c r="B35" s="9" t="s">
        <v>846</v>
      </c>
      <c r="C35" s="9" t="s">
        <v>847</v>
      </c>
      <c r="D35" s="9" t="n">
        <v>1820641701</v>
      </c>
      <c r="E35" s="9" t="n">
        <v>1798705540</v>
      </c>
      <c r="F35" s="9" t="n">
        <v>-1.2</v>
      </c>
      <c r="G35" s="9" t="n">
        <v>-0.2</v>
      </c>
      <c r="H35" s="9" t="n">
        <v>1297</v>
      </c>
      <c r="I35" s="9" t="n">
        <v>1386820</v>
      </c>
      <c r="J35" s="9" t="s">
        <v>777</v>
      </c>
      <c r="K35" s="9" t="s">
        <v>850</v>
      </c>
    </row>
    <row r="36" customFormat="false" ht="15" hidden="false" customHeight="false" outlineLevel="0" collapsed="false">
      <c r="A36" s="9" t="s">
        <v>851</v>
      </c>
      <c r="B36" s="9" t="s">
        <v>846</v>
      </c>
      <c r="C36" s="9" t="s">
        <v>852</v>
      </c>
      <c r="D36" s="9" t="n">
        <v>1743174081</v>
      </c>
      <c r="E36" s="9" t="n">
        <v>1716174108</v>
      </c>
      <c r="F36" s="9" t="n">
        <v>-1.55</v>
      </c>
      <c r="G36" s="9" t="n">
        <v>-0.25</v>
      </c>
      <c r="H36" s="9" t="n">
        <v>1221</v>
      </c>
      <c r="I36" s="9" t="n">
        <v>1405548</v>
      </c>
      <c r="J36" s="9" t="s">
        <v>777</v>
      </c>
      <c r="K36" s="9" t="s">
        <v>853</v>
      </c>
    </row>
    <row r="37" customFormat="false" ht="15" hidden="false" customHeight="false" outlineLevel="0" collapsed="false">
      <c r="A37" s="9" t="s">
        <v>854</v>
      </c>
      <c r="B37" s="9" t="s">
        <v>855</v>
      </c>
      <c r="C37" s="9" t="s">
        <v>856</v>
      </c>
      <c r="D37" s="9" t="n">
        <v>1641521688</v>
      </c>
      <c r="E37" s="9" t="n">
        <v>1619139132</v>
      </c>
      <c r="F37" s="9" t="n">
        <v>-1.36</v>
      </c>
      <c r="G37" s="9" t="n">
        <v>-0.21</v>
      </c>
      <c r="H37" s="9" t="n">
        <v>1164</v>
      </c>
      <c r="I37" s="9" t="n">
        <v>1391013</v>
      </c>
      <c r="J37" s="9" t="s">
        <v>777</v>
      </c>
      <c r="K37" s="9" t="s">
        <v>857</v>
      </c>
    </row>
    <row r="38" customFormat="false" ht="15" hidden="false" customHeight="false" outlineLevel="0" collapsed="false">
      <c r="A38" s="9" t="s">
        <v>858</v>
      </c>
      <c r="B38" s="9" t="s">
        <v>859</v>
      </c>
      <c r="C38" s="9" t="s">
        <v>860</v>
      </c>
      <c r="D38" s="9" t="n">
        <v>1571592960</v>
      </c>
      <c r="E38" s="9" t="n">
        <v>1521518976</v>
      </c>
      <c r="F38" s="9" t="n">
        <v>-3.19</v>
      </c>
      <c r="G38" s="9" t="n">
        <v>0</v>
      </c>
      <c r="H38" s="9" t="n">
        <v>1152</v>
      </c>
      <c r="I38" s="9" t="n">
        <v>1320763</v>
      </c>
      <c r="J38" s="9" t="s">
        <v>777</v>
      </c>
      <c r="K38" s="9" t="s">
        <v>861</v>
      </c>
    </row>
    <row r="39" customFormat="false" ht="15" hidden="false" customHeight="false" outlineLevel="0" collapsed="false">
      <c r="A39" s="9" t="s">
        <v>862</v>
      </c>
      <c r="B39" s="9" t="s">
        <v>843</v>
      </c>
      <c r="C39" s="9" t="s">
        <v>863</v>
      </c>
      <c r="D39" s="9" t="n">
        <v>1477492400</v>
      </c>
      <c r="E39" s="9" t="n">
        <v>1258525947</v>
      </c>
      <c r="F39" s="9" t="n">
        <v>-14.82</v>
      </c>
      <c r="G39" s="9" t="n">
        <v>-2.04</v>
      </c>
      <c r="H39" s="9" t="n">
        <v>1321</v>
      </c>
      <c r="I39" s="9" t="n">
        <v>952707</v>
      </c>
      <c r="J39" s="9" t="s">
        <v>777</v>
      </c>
      <c r="K39" s="9" t="s">
        <v>864</v>
      </c>
    </row>
    <row r="40" customFormat="false" ht="15" hidden="false" customHeight="false" outlineLevel="0" collapsed="false">
      <c r="A40" s="9" t="s">
        <v>865</v>
      </c>
      <c r="B40" s="9" t="s">
        <v>866</v>
      </c>
      <c r="C40" s="9" t="s">
        <v>863</v>
      </c>
      <c r="D40" s="9" t="n">
        <v>1237028156</v>
      </c>
      <c r="E40" s="9" t="n">
        <v>1222812502</v>
      </c>
      <c r="F40" s="9" t="n">
        <v>-1.15</v>
      </c>
      <c r="G40" s="9" t="n">
        <v>-0.13</v>
      </c>
      <c r="H40" s="9" t="n">
        <v>1301</v>
      </c>
      <c r="I40" s="9" t="n">
        <v>939902</v>
      </c>
      <c r="J40" s="9" t="s">
        <v>777</v>
      </c>
      <c r="K40" s="9" t="s">
        <v>867</v>
      </c>
    </row>
    <row r="41" customFormat="false" ht="15" hidden="false" customHeight="false" outlineLevel="0" collapsed="false">
      <c r="A41" s="9" t="s">
        <v>868</v>
      </c>
      <c r="B41" s="9" t="s">
        <v>859</v>
      </c>
      <c r="C41" s="9" t="s">
        <v>869</v>
      </c>
      <c r="D41" s="9" t="n">
        <v>1137367864</v>
      </c>
      <c r="E41" s="9" t="n">
        <v>1122893847</v>
      </c>
      <c r="F41" s="9" t="n">
        <v>-1.27</v>
      </c>
      <c r="G41" s="9" t="n">
        <v>-0.13</v>
      </c>
      <c r="H41" s="9" t="n">
        <v>1251</v>
      </c>
      <c r="I41" s="9" t="n">
        <v>897597</v>
      </c>
      <c r="J41" s="9" t="s">
        <v>870</v>
      </c>
      <c r="K41" s="9" t="s">
        <v>871</v>
      </c>
    </row>
    <row r="42" customFormat="false" ht="15" hidden="false" customHeight="false" outlineLevel="0" collapsed="false">
      <c r="A42" s="9" t="s">
        <v>872</v>
      </c>
      <c r="B42" s="9" t="s">
        <v>846</v>
      </c>
      <c r="C42" s="9" t="s">
        <v>873</v>
      </c>
      <c r="D42" s="9" t="n">
        <v>1107467010</v>
      </c>
      <c r="E42" s="9" t="n">
        <v>999570880</v>
      </c>
      <c r="F42" s="9" t="n">
        <v>-9.74</v>
      </c>
      <c r="G42" s="9" t="n">
        <v>-1</v>
      </c>
      <c r="H42" s="9" t="n">
        <v>1243</v>
      </c>
      <c r="I42" s="9" t="n">
        <v>804160</v>
      </c>
      <c r="J42" s="9" t="s">
        <v>777</v>
      </c>
      <c r="K42" s="9" t="s">
        <v>874</v>
      </c>
    </row>
    <row r="43" customFormat="false" ht="15" hidden="false" customHeight="false" outlineLevel="0" collapsed="false">
      <c r="A43" s="9" t="s">
        <v>875</v>
      </c>
      <c r="B43" s="9" t="s">
        <v>876</v>
      </c>
      <c r="C43" s="9" t="s">
        <v>877</v>
      </c>
      <c r="D43" s="9" t="n">
        <v>983732808</v>
      </c>
      <c r="E43" s="9" t="n">
        <v>973454676</v>
      </c>
      <c r="F43" s="9" t="n">
        <v>-1.04</v>
      </c>
      <c r="G43" s="9" t="n">
        <v>-0.1</v>
      </c>
      <c r="H43" s="9" t="n">
        <v>1237</v>
      </c>
      <c r="I43" s="9" t="n">
        <v>786948</v>
      </c>
      <c r="J43" s="9" t="s">
        <v>777</v>
      </c>
      <c r="K43" s="9" t="s">
        <v>878</v>
      </c>
    </row>
    <row r="44" customFormat="false" ht="15" hidden="false" customHeight="false" outlineLevel="0" collapsed="false">
      <c r="A44" s="9" t="s">
        <v>879</v>
      </c>
      <c r="B44" s="9" t="s">
        <v>876</v>
      </c>
      <c r="C44" s="9" t="s">
        <v>880</v>
      </c>
      <c r="D44" s="9" t="n">
        <v>971373636</v>
      </c>
      <c r="E44" s="9" t="n">
        <v>957294360</v>
      </c>
      <c r="F44" s="9" t="n">
        <v>-1.45</v>
      </c>
      <c r="G44" s="9" t="n">
        <v>-0.13</v>
      </c>
      <c r="H44" s="9" t="n">
        <v>1236</v>
      </c>
      <c r="I44" s="9" t="n">
        <v>774510</v>
      </c>
      <c r="J44" s="9" t="s">
        <v>777</v>
      </c>
      <c r="K44" s="9" t="s">
        <v>881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LibreOffice/26.8.1.1$MacOSX_AARCH64 LibreOffice_project/bf6ef2662401c7d6dce671ab4deb26ee0af3a7c1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2026-10-26T21:14:18Z</dcterms:created>
  <dc:creator>openpyxl</dc:creator>
  <dc:description/>
  <dc:language>nl-NL</dc:language>
  <cp:lastModifiedBy/>
  <dcterms:modified xsi:type="dcterms:W3CDTF">2026-10-26T21:14:18Z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